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ценки" sheetId="1" state="visible" r:id="rId1"/>
    <sheet name="Смета" sheetId="2" state="visible" r:id="rId2"/>
    <sheet name="О скане" sheetId="3" state="visible" r:id="rId3"/>
  </sheets>
  <definedNames>
    <definedName name="_xlnm._FilterDatabase" localSheetId="0" hidden="1">'Расценки'!$B$6:$H$76</definedName>
    <definedName name="_xlnm.Print_Titles" localSheetId="0">'Расценки'!$6:$6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#,##0 &quot;₽&quot;"/>
    <numFmt numFmtId="165" formatCode="DD.MM.YYYY"/>
  </numFmts>
  <fonts count="28">
    <font>
      <name val="Calibri"/>
      <family val="2"/>
      <color theme="1"/>
      <sz val="11"/>
      <scheme val="minor"/>
    </font>
    <font>
      <name val="Calibri"/>
      <b val="1"/>
      <color rgb="001B365D"/>
      <sz val="22"/>
    </font>
    <font>
      <name val="Calibri"/>
      <i val="1"/>
      <color rgb="005B6770"/>
      <sz val="12"/>
    </font>
    <font>
      <name val="Calibri"/>
      <color rgb="005B6770"/>
      <sz val="9"/>
    </font>
    <font>
      <name val="Calibri"/>
      <b val="1"/>
      <color rgb="00FFFFFF"/>
      <sz val="11"/>
    </font>
    <font>
      <name val="Calibri"/>
      <b val="1"/>
      <strike val="0"/>
      <color rgb="001F2933"/>
      <sz val="11"/>
    </font>
    <font>
      <name val="Calibri"/>
      <strike val="0"/>
      <color rgb="001F2933"/>
      <sz val="11"/>
    </font>
    <font>
      <name val="Calibri"/>
      <strike val="0"/>
      <color rgb="005B6770"/>
      <sz val="11"/>
    </font>
    <font>
      <name val="Calibri"/>
      <color rgb="001F2933"/>
      <sz val="11"/>
    </font>
    <font>
      <name val="Calibri"/>
      <b val="1"/>
      <strike val="0"/>
      <color rgb="001B365D"/>
      <sz val="11"/>
    </font>
    <font>
      <name val="Calibri"/>
      <i val="1"/>
      <color rgb="005B6770"/>
      <sz val="9"/>
    </font>
    <font>
      <name val="Calibri"/>
      <b val="1"/>
      <strike val="1"/>
      <color rgb="007A828A"/>
      <sz val="11"/>
    </font>
    <font>
      <name val="Calibri"/>
      <strike val="1"/>
      <color rgb="007A828A"/>
      <sz val="11"/>
    </font>
    <font>
      <name val="Calibri"/>
      <strike val="1"/>
      <color rgb="005B6770"/>
      <sz val="11"/>
    </font>
    <font>
      <name val="Calibri"/>
      <b val="1"/>
      <strike val="1"/>
      <color rgb="001B365D"/>
      <sz val="11"/>
    </font>
    <font>
      <name val="Calibri"/>
      <b val="1"/>
      <color rgb="00FFFFFF"/>
      <sz val="12"/>
    </font>
    <font>
      <name val="Calibri"/>
      <b val="1"/>
      <color rgb="00C4A35A"/>
      <sz val="14"/>
    </font>
    <font>
      <name val="Calibri"/>
      <b val="1"/>
      <color rgb="001B365D"/>
      <sz val="14"/>
    </font>
    <font>
      <name val="Calibri"/>
      <b val="1"/>
      <color rgb="00FFFFFF"/>
      <sz val="10"/>
    </font>
    <font>
      <name val="Calibri"/>
      <b val="1"/>
      <color rgb="001B365D"/>
      <sz val="11"/>
    </font>
    <font>
      <name val="Calibri"/>
      <color rgb="005B6770"/>
      <sz val="10"/>
    </font>
    <font>
      <name val="Calibri"/>
      <b val="1"/>
      <color rgb="001F2933"/>
      <sz val="12"/>
    </font>
    <font>
      <name val="Calibri"/>
      <color rgb="001F2933"/>
      <sz val="12"/>
    </font>
    <font>
      <name val="Calibri"/>
      <b val="1"/>
      <color rgb="001F2933"/>
      <sz val="11"/>
    </font>
    <font>
      <name val="Calibri"/>
      <color rgb="005B6770"/>
      <sz val="11"/>
    </font>
    <font>
      <name val="Calibri"/>
      <b val="1"/>
      <color rgb="00FFFFFF"/>
      <sz val="13"/>
    </font>
    <font>
      <name val="Calibri"/>
      <b val="1"/>
      <color rgb="001B365D"/>
      <sz val="20"/>
    </font>
    <font>
      <name val="Calibri"/>
      <i val="1"/>
      <color rgb="005B6770"/>
      <sz val="11"/>
    </font>
  </fonts>
  <fills count="1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6F8FA"/>
      </patternFill>
    </fill>
    <fill>
      <patternFill patternType="solid">
        <fgColor rgb="00234E70"/>
      </patternFill>
    </fill>
    <fill>
      <patternFill patternType="solid">
        <fgColor rgb="00FFF4D6"/>
      </patternFill>
    </fill>
    <fill>
      <patternFill patternType="solid">
        <fgColor rgb="002F6D7A"/>
      </patternFill>
    </fill>
    <fill>
      <patternFill patternType="solid">
        <fgColor rgb="002C5F2D"/>
      </patternFill>
    </fill>
    <fill>
      <patternFill patternType="solid">
        <fgColor rgb="007A4E1D"/>
      </patternFill>
    </fill>
    <fill>
      <patternFill patternType="solid">
        <fgColor rgb="006B3FA0"/>
      </patternFill>
    </fill>
    <fill>
      <patternFill patternType="solid">
        <fgColor rgb="009B2C2C"/>
      </patternFill>
    </fill>
    <fill>
      <patternFill patternType="solid">
        <fgColor rgb="00FDECEC"/>
      </patternFill>
    </fill>
    <fill>
      <patternFill patternType="solid">
        <fgColor rgb="00F3F4F6"/>
      </patternFill>
    </fill>
    <fill>
      <patternFill patternType="solid">
        <fgColor rgb="003D4F6F"/>
      </patternFill>
    </fill>
  </fills>
  <borders count="6">
    <border>
      <left/>
      <right/>
      <top/>
      <bottom/>
      <diagonal/>
    </border>
    <border>
      <bottom style="medium">
        <color rgb="00C4A35A"/>
      </bottom>
    </border>
    <border>
      <left style="thin">
        <color rgb="00D5DCE3"/>
      </left>
      <right style="thin">
        <color rgb="00D5DCE3"/>
      </right>
      <top style="thin">
        <color rgb="00D5DCE3"/>
      </top>
      <bottom style="thin">
        <color rgb="00D5DCE3"/>
      </bottom>
    </border>
    <border>
      <left/>
      <right/>
      <top style="thin">
        <color rgb="00D5DCE3"/>
      </top>
      <bottom/>
      <diagonal/>
    </border>
    <border>
      <left/>
      <right style="thin">
        <color rgb="00D5DCE3"/>
      </right>
      <top style="thin">
        <color rgb="00D5DCE3"/>
      </top>
      <bottom/>
      <diagonal/>
    </border>
    <border>
      <left/>
      <right style="thin">
        <color rgb="00D5DCE3"/>
      </right>
      <top style="thin">
        <color rgb="00D5DCE3"/>
      </top>
      <bottom style="thin">
        <color rgb="00D5DCE3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indent="1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vertical="center" wrapText="1" indent="1"/>
    </xf>
    <xf numFmtId="0" fontId="7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right" vertical="center"/>
    </xf>
    <xf numFmtId="2" fontId="8" fillId="4" borderId="2" applyAlignment="1" pivotButton="0" quotePrefix="0" xfId="0">
      <alignment horizontal="center" vertical="center"/>
    </xf>
    <xf numFmtId="164" fontId="9" fillId="3" borderId="2" applyAlignment="1" pivotButton="0" quotePrefix="0" xfId="0">
      <alignment horizontal="right" vertical="center"/>
    </xf>
    <xf numFmtId="0" fontId="10" fillId="3" borderId="2" applyAlignment="1" pivotButton="0" quotePrefix="0" xfId="0">
      <alignment vertical="center" wrapText="1" indent="1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vertical="center" wrapText="1" indent="1"/>
    </xf>
    <xf numFmtId="0" fontId="7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  <xf numFmtId="164" fontId="9" fillId="5" borderId="2" applyAlignment="1" pivotButton="0" quotePrefix="0" xfId="0">
      <alignment horizontal="right" vertical="center"/>
    </xf>
    <xf numFmtId="0" fontId="10" fillId="5" borderId="2" applyAlignment="1" pivotButton="0" quotePrefix="0" xfId="0">
      <alignment vertical="center" wrapText="1" indent="1"/>
    </xf>
    <xf numFmtId="0" fontId="4" fillId="6" borderId="0" applyAlignment="1" pivotButton="0" quotePrefix="0" xfId="0">
      <alignment vertical="center" indent="1"/>
    </xf>
    <xf numFmtId="0" fontId="0" fillId="6" borderId="0" pivotButton="0" quotePrefix="0" xfId="0"/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vertical="center" wrapText="1" indent="1"/>
    </xf>
    <xf numFmtId="0" fontId="7" fillId="7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right" vertical="center"/>
    </xf>
    <xf numFmtId="164" fontId="9" fillId="7" borderId="2" applyAlignment="1" pivotButton="0" quotePrefix="0" xfId="0">
      <alignment horizontal="right" vertical="center"/>
    </xf>
    <xf numFmtId="0" fontId="10" fillId="7" borderId="2" applyAlignment="1" pivotButton="0" quotePrefix="0" xfId="0">
      <alignment vertical="center" wrapText="1" indent="1"/>
    </xf>
    <xf numFmtId="0" fontId="4" fillId="8" borderId="0" applyAlignment="1" pivotButton="0" quotePrefix="0" xfId="0">
      <alignment vertical="center" indent="1"/>
    </xf>
    <xf numFmtId="0" fontId="0" fillId="8" borderId="0" pivotButton="0" quotePrefix="0" xfId="0"/>
    <xf numFmtId="0" fontId="4" fillId="9" borderId="0" applyAlignment="1" pivotButton="0" quotePrefix="0" xfId="0">
      <alignment vertical="center" indent="1"/>
    </xf>
    <xf numFmtId="0" fontId="0" fillId="9" borderId="0" pivotButton="0" quotePrefix="0" xfId="0"/>
    <xf numFmtId="0" fontId="4" fillId="10" borderId="0" applyAlignment="1" pivotButton="0" quotePrefix="0" xfId="0">
      <alignment vertical="center" indent="1"/>
    </xf>
    <xf numFmtId="0" fontId="0" fillId="10" borderId="0" pivotButton="0" quotePrefix="0" xfId="0"/>
    <xf numFmtId="0" fontId="4" fillId="11" borderId="0" applyAlignment="1" pivotButton="0" quotePrefix="0" xfId="0">
      <alignment vertical="center" indent="1"/>
    </xf>
    <xf numFmtId="0" fontId="0" fillId="11" borderId="0" pivotButton="0" quotePrefix="0" xfId="0"/>
    <xf numFmtId="0" fontId="4" fillId="12" borderId="0" applyAlignment="1" pivotButton="0" quotePrefix="0" xfId="0">
      <alignment vertical="center" indent="1"/>
    </xf>
    <xf numFmtId="0" fontId="0" fillId="12" borderId="0" pivotButton="0" quotePrefix="0" xfId="0"/>
    <xf numFmtId="0" fontId="5" fillId="13" borderId="2" applyAlignment="1" pivotButton="0" quotePrefix="0" xfId="0">
      <alignment horizontal="center" vertical="center"/>
    </xf>
    <xf numFmtId="0" fontId="6" fillId="13" borderId="2" applyAlignment="1" pivotButton="0" quotePrefix="0" xfId="0">
      <alignment vertical="center" wrapText="1" indent="1"/>
    </xf>
    <xf numFmtId="0" fontId="7" fillId="13" borderId="2" applyAlignment="1" pivotButton="0" quotePrefix="0" xfId="0">
      <alignment horizontal="center" vertical="center"/>
    </xf>
    <xf numFmtId="164" fontId="5" fillId="13" borderId="2" applyAlignment="1" pivotButton="0" quotePrefix="0" xfId="0">
      <alignment horizontal="right" vertical="center"/>
    </xf>
    <xf numFmtId="164" fontId="9" fillId="13" borderId="2" applyAlignment="1" pivotButton="0" quotePrefix="0" xfId="0">
      <alignment horizontal="right" vertical="center"/>
    </xf>
    <xf numFmtId="0" fontId="10" fillId="13" borderId="2" applyAlignment="1" pivotButton="0" quotePrefix="0" xfId="0">
      <alignment vertical="center" wrapText="1" indent="1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vertical="center" wrapText="1" indent="1"/>
    </xf>
    <xf numFmtId="0" fontId="13" fillId="14" borderId="2" applyAlignment="1" pivotButton="0" quotePrefix="0" xfId="0">
      <alignment horizontal="center" vertical="center"/>
    </xf>
    <xf numFmtId="164" fontId="11" fillId="14" borderId="2" applyAlignment="1" pivotButton="0" quotePrefix="0" xfId="0">
      <alignment horizontal="right" vertical="center"/>
    </xf>
    <xf numFmtId="2" fontId="8" fillId="14" borderId="2" applyAlignment="1" pivotButton="0" quotePrefix="0" xfId="0">
      <alignment horizontal="center" vertical="center"/>
    </xf>
    <xf numFmtId="164" fontId="14" fillId="14" borderId="2" applyAlignment="1" pivotButton="0" quotePrefix="0" xfId="0">
      <alignment horizontal="right" vertical="center"/>
    </xf>
    <xf numFmtId="0" fontId="10" fillId="14" borderId="2" applyAlignment="1" pivotButton="0" quotePrefix="0" xfId="0">
      <alignment vertical="center" wrapText="1" indent="1"/>
    </xf>
    <xf numFmtId="0" fontId="4" fillId="15" borderId="0" applyAlignment="1" pivotButton="0" quotePrefix="0" xfId="0">
      <alignment vertical="center" indent="1"/>
    </xf>
    <xf numFmtId="0" fontId="0" fillId="15" borderId="0" pivotButton="0" quotePrefix="0" xfId="0"/>
    <xf numFmtId="0" fontId="15" fillId="2" borderId="0" applyAlignment="1" pivotButton="0" quotePrefix="0" xfId="0">
      <alignment vertical="center" indent="1"/>
    </xf>
    <xf numFmtId="164" fontId="16" fillId="2" borderId="0" applyAlignment="1" pivotButton="0" quotePrefix="0" xfId="0">
      <alignment horizontal="right" vertical="center"/>
    </xf>
    <xf numFmtId="0" fontId="17" fillId="0" borderId="0" pivotButton="0" quotePrefix="0" xfId="0"/>
    <xf numFmtId="0" fontId="18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8" fillId="3" borderId="2" applyAlignment="1" pivotButton="0" quotePrefix="0" xfId="0">
      <alignment vertical="center" indent="1"/>
    </xf>
    <xf numFmtId="0" fontId="8" fillId="3" borderId="2" applyAlignment="1" pivotButton="0" quotePrefix="0" xfId="0">
      <alignment horizontal="center" vertical="center"/>
    </xf>
    <xf numFmtId="0" fontId="0" fillId="3" borderId="2" pivotButton="0" quotePrefix="0" xfId="0"/>
    <xf numFmtId="164" fontId="19" fillId="3" borderId="2" applyAlignment="1" pivotButton="0" quotePrefix="0" xfId="0">
      <alignment horizontal="right" vertical="center"/>
    </xf>
    <xf numFmtId="0" fontId="8" fillId="5" borderId="2" applyAlignment="1" pivotButton="0" quotePrefix="0" xfId="0">
      <alignment vertical="center" indent="1"/>
    </xf>
    <xf numFmtId="0" fontId="8" fillId="5" borderId="2" applyAlignment="1" pivotButton="0" quotePrefix="0" xfId="0">
      <alignment horizontal="center" vertical="center"/>
    </xf>
    <xf numFmtId="0" fontId="0" fillId="5" borderId="2" pivotButton="0" quotePrefix="0" xfId="0"/>
    <xf numFmtId="164" fontId="1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20" fillId="0" borderId="0" pivotButton="0" quotePrefix="0" xfId="0"/>
    <xf numFmtId="0" fontId="21" fillId="4" borderId="2" applyAlignment="1" pivotButton="0" quotePrefix="0" xfId="0">
      <alignment vertical="center" indent="1"/>
    </xf>
    <xf numFmtId="165" fontId="22" fillId="4" borderId="2" applyAlignment="1" pivotButton="0" quotePrefix="0" xfId="0">
      <alignment horizontal="center" vertical="center"/>
    </xf>
    <xf numFmtId="0" fontId="22" fillId="4" borderId="2" applyAlignment="1" pivotButton="0" quotePrefix="0" xfId="0">
      <alignment vertical="center" indent="1"/>
    </xf>
    <xf numFmtId="0" fontId="10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23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 wrapText="1" indent="1"/>
    </xf>
    <xf numFmtId="0" fontId="8" fillId="3" borderId="2" applyAlignment="1" pivotButton="0" quotePrefix="0" xfId="0">
      <alignment horizontal="center" vertical="center"/>
    </xf>
    <xf numFmtId="164" fontId="23" fillId="3" borderId="2" applyAlignment="1" pivotButton="0" quotePrefix="0" xfId="0">
      <alignment horizontal="right" vertical="center"/>
    </xf>
    <xf numFmtId="2" fontId="8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 indent="1"/>
    </xf>
    <xf numFmtId="0" fontId="23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 wrapText="1" indent="1"/>
    </xf>
    <xf numFmtId="0" fontId="8" fillId="5" borderId="2" applyAlignment="1" pivotButton="0" quotePrefix="0" xfId="0">
      <alignment horizontal="center" vertical="center"/>
    </xf>
    <xf numFmtId="164" fontId="23" fillId="5" borderId="2" applyAlignment="1" pivotButton="0" quotePrefix="0" xfId="0">
      <alignment horizontal="right" vertical="center"/>
    </xf>
    <xf numFmtId="2" fontId="8" fillId="5" borderId="2" applyAlignment="1" pivotButton="0" quotePrefix="0" xfId="0">
      <alignment horizontal="center" vertical="center"/>
    </xf>
    <xf numFmtId="0" fontId="24" fillId="5" borderId="2" applyAlignment="1" pivotButton="0" quotePrefix="0" xfId="0">
      <alignment horizontal="left" vertical="center" indent="1"/>
    </xf>
    <xf numFmtId="0" fontId="25" fillId="2" borderId="0" applyAlignment="1" pivotButton="0" quotePrefix="0" xfId="0">
      <alignment vertical="center" indent="1"/>
    </xf>
    <xf numFmtId="0" fontId="26" fillId="0" borderId="0" pivotButton="0" quotePrefix="0" xfId="0"/>
    <xf numFmtId="0" fontId="27" fillId="0" borderId="0" pivotButton="0" quotePrefix="0" xfId="0"/>
    <xf numFmtId="0" fontId="4" fillId="2" borderId="2" applyAlignment="1" pivotButton="0" quotePrefix="0" xfId="0">
      <alignment vertical="center" wrapText="1" indent="1"/>
    </xf>
    <xf numFmtId="0" fontId="8" fillId="5" borderId="2" applyAlignment="1" pivotButton="0" quotePrefix="0" xfId="0">
      <alignment vertical="center" wrapText="1" indent="1"/>
    </xf>
    <xf numFmtId="0" fontId="23" fillId="7" borderId="2" applyAlignment="1" pivotButton="0" quotePrefix="0" xfId="0">
      <alignment horizontal="center" vertical="center"/>
    </xf>
    <xf numFmtId="0" fontId="23" fillId="13" borderId="2" applyAlignment="1" pivotButton="0" quotePrefix="0" xfId="0">
      <alignment horizontal="center" vertical="center"/>
    </xf>
    <xf numFmtId="0" fontId="23" fillId="14" borderId="2" applyAlignment="1" pivotButton="0" quotePrefix="0" xfId="0">
      <alignment horizontal="center" vertical="center"/>
    </xf>
    <xf numFmtId="0" fontId="2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Распознавание скана</author>
  </authors>
  <commentList>
    <comment ref="E47" authorId="0" shapeId="0">
      <text>
        <t>В скане цена вписана от руки и помечена вопросительным знаком. Проверьте перед сметой.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I89"/>
  <sheetViews>
    <sheetView showGridLines="0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.2" customWidth="1" min="1" max="1"/>
    <col width="8" customWidth="1" min="2" max="2"/>
    <col width="78" customWidth="1" min="3" max="3"/>
    <col width="12" customWidth="1" min="4" max="4"/>
    <col width="14" customWidth="1" min="5" max="5"/>
    <col width="14" customWidth="1" min="6" max="6"/>
    <col width="16" customWidth="1" min="7" max="7"/>
    <col width="48" customWidth="1" min="8" max="8"/>
    <col hidden="1" width="13" customWidth="1" min="9" max="9"/>
  </cols>
  <sheetData>
    <row r="1" ht="8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 ht="28" customHeight="1">
      <c r="B2" s="2" t="inlineStr">
        <is>
          <t>РАСЦЕНКИ НА РАБОТЫ</t>
        </is>
      </c>
    </row>
    <row r="3" ht="18" customHeight="1">
      <c r="B3" s="3" t="inlineStr">
        <is>
          <t>Сентябрь  ·  прайс по скану  ·  цены за единицу, ₽</t>
        </is>
      </c>
    </row>
    <row r="4" ht="6" customHeight="1">
      <c r="B4" s="4" t="n"/>
      <c r="C4" s="4" t="n"/>
      <c r="D4" s="4" t="n"/>
      <c r="E4" s="4" t="n"/>
      <c r="F4" s="4" t="n"/>
      <c r="G4" s="4" t="n"/>
      <c r="H4" s="4" t="n"/>
    </row>
    <row r="5" ht="18" customHeight="1">
      <c r="B5" s="5" t="inlineStr">
        <is>
          <t xml:space="preserve">  Жёлтая заливка — цена или позиция вписаны / исправлены от руки.    Розовая — обведено на скане.    Серая зачёркнутая — «не входит».    В скане нет позиции № 12.</t>
        </is>
      </c>
    </row>
    <row r="6" ht="22" customHeight="1">
      <c r="A6" s="1" t="inlineStr"/>
      <c r="B6" s="6" t="inlineStr">
        <is>
          <t>№</t>
        </is>
      </c>
      <c r="C6" s="6" t="inlineStr">
        <is>
          <t>Наименование работ</t>
        </is>
      </c>
      <c r="D6" s="6" t="inlineStr">
        <is>
          <t>Ед. изм.</t>
        </is>
      </c>
      <c r="E6" s="6" t="inlineStr">
        <is>
          <t>Цена, ₽</t>
        </is>
      </c>
      <c r="F6" s="6" t="inlineStr">
        <is>
          <t>Кол-во</t>
        </is>
      </c>
      <c r="G6" s="6" t="inlineStr">
        <is>
          <t>Сумма, ₽</t>
        </is>
      </c>
      <c r="H6" s="6" t="inlineStr">
        <is>
          <t>Примечание</t>
        </is>
      </c>
      <c r="I6" t="inlineStr">
        <is>
          <t>Раздел</t>
        </is>
      </c>
    </row>
    <row r="7" ht="20" customHeight="1">
      <c r="A7" s="7" t="n"/>
      <c r="B7" s="7" t="inlineStr">
        <is>
          <t>Полы и стяжка</t>
        </is>
      </c>
    </row>
    <row r="8" ht="22" customHeight="1">
      <c r="A8" s="1" t="inlineStr"/>
      <c r="B8" s="8" t="n">
        <v>1</v>
      </c>
      <c r="C8" s="9" t="inlineStr">
        <is>
          <t>Устройство гидроизоляции полов, два слоя</t>
        </is>
      </c>
      <c r="D8" s="10" t="inlineStr">
        <is>
          <t>м²</t>
        </is>
      </c>
      <c r="E8" s="11" t="n">
        <v>400</v>
      </c>
      <c r="F8" s="12" t="n"/>
      <c r="G8" s="13">
        <f>IF(OR(F8="",F8=0),0,E8*F8)</f>
        <v/>
      </c>
      <c r="H8" s="14" t="inlineStr"/>
      <c r="I8" t="inlineStr">
        <is>
          <t>Полы и стяжка</t>
        </is>
      </c>
    </row>
    <row r="9" ht="22" customHeight="1">
      <c r="A9" s="1" t="inlineStr"/>
      <c r="B9" s="15" t="n">
        <v>2</v>
      </c>
      <c r="C9" s="16" t="inlineStr">
        <is>
          <t>Устройство цементно-песчаной стяжки до 50 мм</t>
        </is>
      </c>
      <c r="D9" s="17" t="inlineStr">
        <is>
          <t>м²</t>
        </is>
      </c>
      <c r="E9" s="18" t="n">
        <v>700</v>
      </c>
      <c r="F9" s="12" t="n"/>
      <c r="G9" s="19">
        <f>IF(OR(F9="",F9=0),0,E9*F9)</f>
        <v/>
      </c>
      <c r="H9" s="20" t="inlineStr"/>
      <c r="I9" t="inlineStr">
        <is>
          <t>Полы и стяжка</t>
        </is>
      </c>
    </row>
    <row r="10" ht="32" customHeight="1">
      <c r="A10" s="1" t="inlineStr"/>
      <c r="B10" s="8" t="n">
        <v>3</v>
      </c>
      <c r="C10" s="9" t="inlineStr">
        <is>
          <t>Устройство цементно-песчаной стяжки более 50 мм (на каждые 10 мм увеличения толщины)</t>
        </is>
      </c>
      <c r="D10" s="10" t="inlineStr">
        <is>
          <t>м²</t>
        </is>
      </c>
      <c r="E10" s="11" t="n">
        <v>150</v>
      </c>
      <c r="F10" s="12" t="n"/>
      <c r="G10" s="13">
        <f>IF(OR(F10="",F10=0),0,E10*F10)</f>
        <v/>
      </c>
      <c r="H10" s="14" t="inlineStr"/>
      <c r="I10" t="inlineStr">
        <is>
          <t>Полы и стяжка</t>
        </is>
      </c>
    </row>
    <row r="11" ht="20" customHeight="1">
      <c r="A11" s="21" t="n"/>
      <c r="B11" s="21" t="inlineStr">
        <is>
          <t>Потолки и монтаж</t>
        </is>
      </c>
    </row>
    <row r="12" ht="22" customHeight="1">
      <c r="A12" s="22" t="inlineStr"/>
      <c r="B12" s="23" t="n">
        <v>4</v>
      </c>
      <c r="C12" s="24" t="inlineStr">
        <is>
          <t>Монтаж потолка Грильято</t>
        </is>
      </c>
      <c r="D12" s="25" t="inlineStr">
        <is>
          <t>м²</t>
        </is>
      </c>
      <c r="E12" s="26" t="n">
        <v>1000</v>
      </c>
      <c r="F12" s="12" t="n"/>
      <c r="G12" s="27">
        <f>IF(OR(F12="",F12=0),0,E12*F12)</f>
        <v/>
      </c>
      <c r="H12" s="28" t="inlineStr">
        <is>
          <t>Цена исправлена от руки (было 1 600)</t>
        </is>
      </c>
      <c r="I12" t="inlineStr">
        <is>
          <t>Потолки и монтаж</t>
        </is>
      </c>
    </row>
    <row r="13" ht="22" customHeight="1">
      <c r="A13" s="22" t="inlineStr"/>
      <c r="B13" s="15" t="n">
        <v>5</v>
      </c>
      <c r="C13" s="16" t="inlineStr">
        <is>
          <t>Монтаж скрытых плинтусов (полная работа от и до)</t>
        </is>
      </c>
      <c r="D13" s="17" t="inlineStr">
        <is>
          <t>м.п.</t>
        </is>
      </c>
      <c r="E13" s="18" t="n">
        <v>1500</v>
      </c>
      <c r="F13" s="12" t="n"/>
      <c r="G13" s="19">
        <f>IF(OR(F13="",F13=0),0,E13*F13)</f>
        <v/>
      </c>
      <c r="H13" s="20" t="inlineStr"/>
      <c r="I13" t="inlineStr">
        <is>
          <t>Потолки и монтаж</t>
        </is>
      </c>
    </row>
    <row r="14" ht="22" customHeight="1">
      <c r="A14" s="22" t="inlineStr"/>
      <c r="B14" s="8" t="n">
        <v>6</v>
      </c>
      <c r="C14" s="9" t="inlineStr">
        <is>
          <t>Монтаж трековых светильников</t>
        </is>
      </c>
      <c r="D14" s="10" t="inlineStr">
        <is>
          <t>м.п.</t>
        </is>
      </c>
      <c r="E14" s="11" t="n">
        <v>2000</v>
      </c>
      <c r="F14" s="12" t="n"/>
      <c r="G14" s="13">
        <f>IF(OR(F14="",F14=0),0,E14*F14)</f>
        <v/>
      </c>
      <c r="H14" s="14" t="inlineStr"/>
      <c r="I14" t="inlineStr">
        <is>
          <t>Потолки и монтаж</t>
        </is>
      </c>
    </row>
    <row r="15" ht="22" customHeight="1">
      <c r="A15" s="22" t="inlineStr"/>
      <c r="B15" s="15" t="n">
        <v>7</v>
      </c>
      <c r="C15" s="16" t="inlineStr">
        <is>
          <t>Монтаж откосов сэндвич-панелями 45°</t>
        </is>
      </c>
      <c r="D15" s="17" t="inlineStr">
        <is>
          <t>м.п.</t>
        </is>
      </c>
      <c r="E15" s="18" t="n">
        <v>1500</v>
      </c>
      <c r="F15" s="12" t="n"/>
      <c r="G15" s="19">
        <f>IF(OR(F15="",F15=0),0,E15*F15)</f>
        <v/>
      </c>
      <c r="H15" s="20" t="inlineStr"/>
      <c r="I15" t="inlineStr">
        <is>
          <t>Потолки и монтаж</t>
        </is>
      </c>
    </row>
    <row r="16" ht="22" customHeight="1">
      <c r="A16" s="22" t="inlineStr"/>
      <c r="B16" s="8" t="n">
        <v>8</v>
      </c>
      <c r="C16" s="9" t="inlineStr">
        <is>
          <t>Монтаж проёмов (скрытые двери), полная работа от и до</t>
        </is>
      </c>
      <c r="D16" s="10" t="inlineStr">
        <is>
          <t>м.п.</t>
        </is>
      </c>
      <c r="E16" s="11" t="n">
        <v>1200</v>
      </c>
      <c r="F16" s="12" t="n"/>
      <c r="G16" s="13">
        <f>IF(OR(F16="",F16=0),0,E16*F16)</f>
        <v/>
      </c>
      <c r="H16" s="14" t="inlineStr"/>
      <c r="I16" t="inlineStr">
        <is>
          <t>Потолки и монтаж</t>
        </is>
      </c>
    </row>
    <row r="17" ht="22" customHeight="1">
      <c r="A17" s="22" t="inlineStr"/>
      <c r="B17" s="15" t="n">
        <v>9</v>
      </c>
      <c r="C17" s="16" t="inlineStr">
        <is>
          <t>Монтаж оконных подоконников</t>
        </is>
      </c>
      <c r="D17" s="17" t="inlineStr">
        <is>
          <t>м.п.</t>
        </is>
      </c>
      <c r="E17" s="18" t="n">
        <v>1200</v>
      </c>
      <c r="F17" s="12" t="n"/>
      <c r="G17" s="19">
        <f>IF(OR(F17="",F17=0),0,E17*F17)</f>
        <v/>
      </c>
      <c r="H17" s="20" t="inlineStr"/>
      <c r="I17" t="inlineStr">
        <is>
          <t>Потолки и монтаж</t>
        </is>
      </c>
    </row>
    <row r="18" ht="22" customHeight="1">
      <c r="A18" s="22" t="inlineStr"/>
      <c r="B18" s="8" t="n">
        <v>10</v>
      </c>
      <c r="C18" s="9" t="inlineStr">
        <is>
          <t>Поклейка бумажной лентой</t>
        </is>
      </c>
      <c r="D18" s="10" t="inlineStr">
        <is>
          <t>м.п.</t>
        </is>
      </c>
      <c r="E18" s="11" t="n">
        <v>300</v>
      </c>
      <c r="F18" s="12" t="n"/>
      <c r="G18" s="13">
        <f>IF(OR(F18="",F18=0),0,E18*F18)</f>
        <v/>
      </c>
      <c r="H18" s="14" t="inlineStr"/>
      <c r="I18" t="inlineStr">
        <is>
          <t>Потолки и монтаж</t>
        </is>
      </c>
    </row>
    <row r="19" ht="22" customHeight="1">
      <c r="A19" s="22" t="inlineStr"/>
      <c r="B19" s="15" t="n">
        <v>11</v>
      </c>
      <c r="C19" s="16" t="inlineStr">
        <is>
          <t>Монтаж потолка Армстронг</t>
        </is>
      </c>
      <c r="D19" s="17" t="inlineStr">
        <is>
          <t>м²</t>
        </is>
      </c>
      <c r="E19" s="18" t="n">
        <v>500</v>
      </c>
      <c r="F19" s="12" t="n"/>
      <c r="G19" s="19">
        <f>IF(OR(F19="",F19=0),0,E19*F19)</f>
        <v/>
      </c>
      <c r="H19" s="20" t="inlineStr"/>
      <c r="I19" t="inlineStr">
        <is>
          <t>Потолки и монтаж</t>
        </is>
      </c>
    </row>
    <row r="20" ht="20" customHeight="1">
      <c r="A20" s="29" t="n"/>
      <c r="B20" s="29" t="inlineStr">
        <is>
          <t>Грунтование</t>
        </is>
      </c>
    </row>
    <row r="21" ht="22" customHeight="1">
      <c r="A21" s="30" t="inlineStr"/>
      <c r="B21" s="23" t="n">
        <v>13</v>
      </c>
      <c r="C21" s="24" t="inlineStr">
        <is>
          <t>Грунтовка</t>
        </is>
      </c>
      <c r="D21" s="25" t="inlineStr">
        <is>
          <t>м²</t>
        </is>
      </c>
      <c r="E21" s="26" t="n">
        <v>100</v>
      </c>
      <c r="F21" s="12" t="n"/>
      <c r="G21" s="27">
        <f>IF(OR(F21="",F21=0),0,E21*F21)</f>
        <v/>
      </c>
      <c r="H21" s="28" t="inlineStr">
        <is>
          <t>Цена вписана от руки</t>
        </is>
      </c>
      <c r="I21" t="inlineStr">
        <is>
          <t>Грунтование</t>
        </is>
      </c>
    </row>
    <row r="22" ht="22" customHeight="1">
      <c r="A22" s="30" t="inlineStr"/>
      <c r="B22" s="15" t="n">
        <v>14</v>
      </c>
      <c r="C22" s="16" t="inlineStr">
        <is>
          <t>Грунтовка бетоноконтактом</t>
        </is>
      </c>
      <c r="D22" s="17" t="inlineStr">
        <is>
          <t>м²</t>
        </is>
      </c>
      <c r="E22" s="18" t="n">
        <v>120</v>
      </c>
      <c r="F22" s="12" t="n"/>
      <c r="G22" s="19">
        <f>IF(OR(F22="",F22=0),0,E22*F22)</f>
        <v/>
      </c>
      <c r="H22" s="20" t="inlineStr"/>
      <c r="I22" t="inlineStr">
        <is>
          <t>Грунтование</t>
        </is>
      </c>
    </row>
    <row r="23" ht="20" customHeight="1">
      <c r="A23" s="31" t="n"/>
      <c r="B23" s="31" t="inlineStr">
        <is>
          <t>Гипсокартон и утепление</t>
        </is>
      </c>
    </row>
    <row r="24" ht="22" customHeight="1">
      <c r="A24" s="32" t="inlineStr"/>
      <c r="B24" s="8" t="n">
        <v>15</v>
      </c>
      <c r="C24" s="9" t="inlineStr">
        <is>
          <t>Устройство ГКЛ-потолка 1-уровневого (1 слой)</t>
        </is>
      </c>
      <c r="D24" s="10" t="inlineStr">
        <is>
          <t>м²</t>
        </is>
      </c>
      <c r="E24" s="11" t="n">
        <v>1600</v>
      </c>
      <c r="F24" s="12" t="n"/>
      <c r="G24" s="13">
        <f>IF(OR(F24="",F24=0),0,E24*F24)</f>
        <v/>
      </c>
      <c r="H24" s="14" t="inlineStr"/>
      <c r="I24" t="inlineStr">
        <is>
          <t>Гипсокартон и утепление</t>
        </is>
      </c>
    </row>
    <row r="25" ht="22" customHeight="1">
      <c r="A25" s="32" t="inlineStr"/>
      <c r="B25" s="15" t="n">
        <v>16</v>
      </c>
      <c r="C25" s="16" t="inlineStr">
        <is>
          <t>Устройство двойного каркаса в потолок (в 1 слой ГКЛ)</t>
        </is>
      </c>
      <c r="D25" s="17" t="inlineStr">
        <is>
          <t>м²</t>
        </is>
      </c>
      <c r="E25" s="18" t="n">
        <v>2000</v>
      </c>
      <c r="F25" s="12" t="n"/>
      <c r="G25" s="19">
        <f>IF(OR(F25="",F25=0),0,E25*F25)</f>
        <v/>
      </c>
      <c r="H25" s="20" t="inlineStr"/>
      <c r="I25" t="inlineStr">
        <is>
          <t>Гипсокартон и утепление</t>
        </is>
      </c>
    </row>
    <row r="26" ht="22" customHeight="1">
      <c r="A26" s="32" t="inlineStr"/>
      <c r="B26" s="8" t="n">
        <v>17</v>
      </c>
      <c r="C26" s="9" t="inlineStr">
        <is>
          <t>Устройство двойного каркаса в потолок (в 2 слоя ГКЛ)</t>
        </is>
      </c>
      <c r="D26" s="10" t="inlineStr">
        <is>
          <t>м²</t>
        </is>
      </c>
      <c r="E26" s="11" t="n">
        <v>2500</v>
      </c>
      <c r="F26" s="12" t="n"/>
      <c r="G26" s="13">
        <f>IF(OR(F26="",F26=0),0,E26*F26)</f>
        <v/>
      </c>
      <c r="H26" s="14" t="inlineStr"/>
      <c r="I26" t="inlineStr">
        <is>
          <t>Гипсокартон и утепление</t>
        </is>
      </c>
    </row>
    <row r="27" ht="22" customHeight="1">
      <c r="A27" s="32" t="inlineStr"/>
      <c r="B27" s="15" t="n">
        <v>18</v>
      </c>
      <c r="C27" s="16" t="inlineStr">
        <is>
          <t>Устройство ГКЛ-потолка 1-уровневого (2 слоя)</t>
        </is>
      </c>
      <c r="D27" s="17" t="inlineStr">
        <is>
          <t>м²</t>
        </is>
      </c>
      <c r="E27" s="18" t="n">
        <v>2000</v>
      </c>
      <c r="F27" s="12" t="n"/>
      <c r="G27" s="19">
        <f>IF(OR(F27="",F27=0),0,E27*F27)</f>
        <v/>
      </c>
      <c r="H27" s="20" t="inlineStr"/>
      <c r="I27" t="inlineStr">
        <is>
          <t>Гипсокартон и утепление</t>
        </is>
      </c>
    </row>
    <row r="28" ht="22" customHeight="1">
      <c r="A28" s="32" t="inlineStr"/>
      <c r="B28" s="8" t="n">
        <v>19</v>
      </c>
      <c r="C28" s="9" t="inlineStr">
        <is>
          <t>Обшивка стен ГКЛ по металлическому каркасу (в 1 слой)</t>
        </is>
      </c>
      <c r="D28" s="10" t="inlineStr">
        <is>
          <t>м²</t>
        </is>
      </c>
      <c r="E28" s="11" t="n">
        <v>1500</v>
      </c>
      <c r="F28" s="12" t="n"/>
      <c r="G28" s="13">
        <f>IF(OR(F28="",F28=0),0,E28*F28)</f>
        <v/>
      </c>
      <c r="H28" s="14" t="inlineStr"/>
      <c r="I28" t="inlineStr">
        <is>
          <t>Гипсокартон и утепление</t>
        </is>
      </c>
    </row>
    <row r="29" ht="22" customHeight="1">
      <c r="A29" s="32" t="inlineStr"/>
      <c r="B29" s="15" t="n">
        <v>20</v>
      </c>
      <c r="C29" s="16" t="inlineStr">
        <is>
          <t>Обшивка стен ГКЛ по металлическому каркасу (в 2 слоя)</t>
        </is>
      </c>
      <c r="D29" s="17" t="inlineStr">
        <is>
          <t>м²</t>
        </is>
      </c>
      <c r="E29" s="18" t="n">
        <v>2000</v>
      </c>
      <c r="F29" s="12" t="n"/>
      <c r="G29" s="19">
        <f>IF(OR(F29="",F29=0),0,E29*F29)</f>
        <v/>
      </c>
      <c r="H29" s="20" t="inlineStr"/>
      <c r="I29" t="inlineStr">
        <is>
          <t>Гипсокартон и утепление</t>
        </is>
      </c>
    </row>
    <row r="30" ht="22" customHeight="1">
      <c r="A30" s="32" t="inlineStr"/>
      <c r="B30" s="8" t="n">
        <v>21</v>
      </c>
      <c r="C30" s="9" t="inlineStr">
        <is>
          <t>Обшивка откосов ГКЛ в 1 слой</t>
        </is>
      </c>
      <c r="D30" s="10" t="inlineStr">
        <is>
          <t>м.п.</t>
        </is>
      </c>
      <c r="E30" s="11" t="n">
        <v>1000</v>
      </c>
      <c r="F30" s="12" t="n"/>
      <c r="G30" s="13">
        <f>IF(OR(F30="",F30=0),0,E30*F30)</f>
        <v/>
      </c>
      <c r="H30" s="14" t="inlineStr"/>
      <c r="I30" t="inlineStr">
        <is>
          <t>Гипсокартон и утепление</t>
        </is>
      </c>
    </row>
    <row r="31" ht="22" customHeight="1">
      <c r="A31" s="32" t="inlineStr"/>
      <c r="B31" s="15" t="n">
        <v>22</v>
      </c>
      <c r="C31" s="16" t="inlineStr">
        <is>
          <t>Устройство ГКЛ-перегородок (в 1 слой)</t>
        </is>
      </c>
      <c r="D31" s="17" t="inlineStr">
        <is>
          <t>м²</t>
        </is>
      </c>
      <c r="E31" s="18" t="n">
        <v>1500</v>
      </c>
      <c r="F31" s="12" t="n"/>
      <c r="G31" s="19">
        <f>IF(OR(F31="",F31=0),0,E31*F31)</f>
        <v/>
      </c>
      <c r="H31" s="20" t="inlineStr"/>
      <c r="I31" t="inlineStr">
        <is>
          <t>Гипсокартон и утепление</t>
        </is>
      </c>
    </row>
    <row r="32" ht="22" customHeight="1">
      <c r="A32" s="32" t="inlineStr"/>
      <c r="B32" s="8" t="n">
        <v>23</v>
      </c>
      <c r="C32" s="9" t="inlineStr">
        <is>
          <t>Устройство ГКЛ-перегородок (в 2 слоя)</t>
        </is>
      </c>
      <c r="D32" s="10" t="inlineStr">
        <is>
          <t>м²</t>
        </is>
      </c>
      <c r="E32" s="11" t="n">
        <v>2000</v>
      </c>
      <c r="F32" s="12" t="n"/>
      <c r="G32" s="13">
        <f>IF(OR(F32="",F32=0),0,E32*F32)</f>
        <v/>
      </c>
      <c r="H32" s="14" t="inlineStr"/>
      <c r="I32" t="inlineStr">
        <is>
          <t>Гипсокартон и утепление</t>
        </is>
      </c>
    </row>
    <row r="33" ht="22" customHeight="1">
      <c r="A33" s="32" t="inlineStr"/>
      <c r="B33" s="15" t="n">
        <v>24</v>
      </c>
      <c r="C33" s="16" t="inlineStr">
        <is>
          <t>Утепление стен и перегородок (минвата / ЭППС / пенопласт)</t>
        </is>
      </c>
      <c r="D33" s="17" t="inlineStr">
        <is>
          <t>м²</t>
        </is>
      </c>
      <c r="E33" s="18" t="n">
        <v>200</v>
      </c>
      <c r="F33" s="12" t="n"/>
      <c r="G33" s="19">
        <f>IF(OR(F33="",F33=0),0,E33*F33)</f>
        <v/>
      </c>
      <c r="H33" s="20" t="inlineStr"/>
      <c r="I33" t="inlineStr">
        <is>
          <t>Гипсокартон и утепление</t>
        </is>
      </c>
    </row>
    <row r="34" ht="20" customHeight="1">
      <c r="A34" s="33" t="n"/>
      <c r="B34" s="33" t="inlineStr">
        <is>
          <t>Штукатурка и шпатлёвка</t>
        </is>
      </c>
    </row>
    <row r="35" ht="22" customHeight="1">
      <c r="A35" s="34" t="inlineStr"/>
      <c r="B35" s="23" t="n">
        <v>25</v>
      </c>
      <c r="C35" s="24" t="inlineStr">
        <is>
          <t>Оштукатуривание стен (по маякам) до 30 мм</t>
        </is>
      </c>
      <c r="D35" s="25" t="inlineStr">
        <is>
          <t>м²</t>
        </is>
      </c>
      <c r="E35" s="26" t="n">
        <v>600</v>
      </c>
      <c r="F35" s="12" t="n"/>
      <c r="G35" s="27">
        <f>IF(OR(F35="",F35=0),0,E35*F35)</f>
        <v/>
      </c>
      <c r="H35" s="28" t="inlineStr">
        <is>
          <t>Цена исправлена от руки</t>
        </is>
      </c>
      <c r="I35" t="inlineStr">
        <is>
          <t>Штукатурка и шпатлёвка</t>
        </is>
      </c>
    </row>
    <row r="36" ht="22" customHeight="1">
      <c r="A36" s="34" t="inlineStr"/>
      <c r="B36" s="15" t="n">
        <v>26</v>
      </c>
      <c r="C36" s="16" t="inlineStr">
        <is>
          <t>Выравнивание стен шлифмашинкой</t>
        </is>
      </c>
      <c r="D36" s="17" t="inlineStr">
        <is>
          <t>м²</t>
        </is>
      </c>
      <c r="E36" s="18" t="n">
        <v>200</v>
      </c>
      <c r="F36" s="12" t="n"/>
      <c r="G36" s="19">
        <f>IF(OR(F36="",F36=0),0,E36*F36)</f>
        <v/>
      </c>
      <c r="H36" s="20" t="inlineStr"/>
      <c r="I36" t="inlineStr">
        <is>
          <t>Штукатурка и шпатлёвка</t>
        </is>
      </c>
    </row>
    <row r="37" ht="22" customHeight="1">
      <c r="A37" s="34" t="inlineStr"/>
      <c r="B37" s="8" t="n">
        <v>27</v>
      </c>
      <c r="C37" s="9" t="inlineStr">
        <is>
          <t>Оштукатуривание откосов (под маяк)</t>
        </is>
      </c>
      <c r="D37" s="10" t="inlineStr">
        <is>
          <t>м²</t>
        </is>
      </c>
      <c r="E37" s="11" t="n">
        <v>500</v>
      </c>
      <c r="F37" s="12" t="n"/>
      <c r="G37" s="13">
        <f>IF(OR(F37="",F37=0),0,E37*F37)</f>
        <v/>
      </c>
      <c r="H37" s="14" t="inlineStr"/>
      <c r="I37" t="inlineStr">
        <is>
          <t>Штукатурка и шпатлёвка</t>
        </is>
      </c>
    </row>
    <row r="38" ht="22" customHeight="1">
      <c r="A38" s="34" t="inlineStr"/>
      <c r="B38" s="23" t="n">
        <v>28</v>
      </c>
      <c r="C38" s="24" t="inlineStr">
        <is>
          <t>Оштукатуривание фасадной сеткой (в один слой)</t>
        </is>
      </c>
      <c r="D38" s="25" t="inlineStr">
        <is>
          <t>м²</t>
        </is>
      </c>
      <c r="E38" s="26" t="n">
        <v>600</v>
      </c>
      <c r="F38" s="12" t="n"/>
      <c r="G38" s="27">
        <f>IF(OR(F38="",F38=0),0,E38*F38)</f>
        <v/>
      </c>
      <c r="H38" s="28" t="inlineStr">
        <is>
          <t>Цена исправлена от руки</t>
        </is>
      </c>
      <c r="I38" t="inlineStr">
        <is>
          <t>Штукатурка и шпатлёвка</t>
        </is>
      </c>
    </row>
    <row r="39" ht="22" customHeight="1">
      <c r="A39" s="34" t="inlineStr"/>
      <c r="B39" s="23" t="n">
        <v>29</v>
      </c>
      <c r="C39" s="24" t="inlineStr">
        <is>
          <t>Оштукатуривание фасадной сеткой (в два слоя)</t>
        </is>
      </c>
      <c r="D39" s="25" t="inlineStr">
        <is>
          <t>м²</t>
        </is>
      </c>
      <c r="E39" s="26" t="n">
        <v>1600</v>
      </c>
      <c r="F39" s="12" t="n"/>
      <c r="G39" s="27">
        <f>IF(OR(F39="",F39=0),0,E39*F39)</f>
        <v/>
      </c>
      <c r="H39" s="28" t="inlineStr">
        <is>
          <t>Цена исправлена от руки</t>
        </is>
      </c>
      <c r="I39" t="inlineStr">
        <is>
          <t>Штукатурка и шпатлёвка</t>
        </is>
      </c>
    </row>
    <row r="40" ht="22" customHeight="1">
      <c r="A40" s="34" t="inlineStr"/>
      <c r="B40" s="15" t="n">
        <v>30</v>
      </c>
      <c r="C40" s="16" t="inlineStr">
        <is>
          <t>Выравнивание стен (под правило) до 10 мм</t>
        </is>
      </c>
      <c r="D40" s="17" t="inlineStr">
        <is>
          <t>м²</t>
        </is>
      </c>
      <c r="E40" s="18" t="n">
        <v>500</v>
      </c>
      <c r="F40" s="12" t="n"/>
      <c r="G40" s="19">
        <f>IF(OR(F40="",F40=0),0,E40*F40)</f>
        <v/>
      </c>
      <c r="H40" s="20" t="inlineStr"/>
      <c r="I40" t="inlineStr">
        <is>
          <t>Штукатурка и шпатлёвка</t>
        </is>
      </c>
    </row>
    <row r="41" ht="22" customHeight="1">
      <c r="A41" s="34" t="inlineStr"/>
      <c r="B41" s="23" t="n">
        <v>31</v>
      </c>
      <c r="C41" s="24" t="inlineStr">
        <is>
          <t>Шпатлёвка потолков под покраску за 2 раза (включая шлифовку)</t>
        </is>
      </c>
      <c r="D41" s="25" t="inlineStr">
        <is>
          <t>м²</t>
        </is>
      </c>
      <c r="E41" s="26" t="n">
        <v>1000</v>
      </c>
      <c r="F41" s="12" t="n"/>
      <c r="G41" s="27">
        <f>IF(OR(F41="",F41=0),0,E41*F41)</f>
        <v/>
      </c>
      <c r="H41" s="28" t="inlineStr">
        <is>
          <t>Цена исправлена от руки</t>
        </is>
      </c>
      <c r="I41" t="inlineStr">
        <is>
          <t>Штукатурка и шпатлёвка</t>
        </is>
      </c>
    </row>
    <row r="42" ht="22" customHeight="1">
      <c r="A42" s="34" t="inlineStr"/>
      <c r="B42" s="23" t="inlineStr">
        <is>
          <t>31а</t>
        </is>
      </c>
      <c r="C42" s="24" t="inlineStr">
        <is>
          <t>Монтаж цоколя с пенопластом</t>
        </is>
      </c>
      <c r="D42" s="25" t="inlineStr">
        <is>
          <t>м²</t>
        </is>
      </c>
      <c r="E42" s="26" t="n">
        <v>900</v>
      </c>
      <c r="F42" s="12" t="n"/>
      <c r="G42" s="27">
        <f>IF(OR(F42="",F42=0),0,E42*F42)</f>
        <v/>
      </c>
      <c r="H42" s="28" t="inlineStr">
        <is>
          <t>Добавлено от руки внизу 1-й страницы</t>
        </is>
      </c>
      <c r="I42" t="inlineStr">
        <is>
          <t>Штукатурка и шпатлёвка</t>
        </is>
      </c>
    </row>
    <row r="43" ht="22" customHeight="1">
      <c r="A43" s="34" t="inlineStr"/>
      <c r="B43" s="23" t="inlineStr">
        <is>
          <t>31б</t>
        </is>
      </c>
      <c r="C43" s="24" t="inlineStr">
        <is>
          <t>Фасадные декоративные работы</t>
        </is>
      </c>
      <c r="D43" s="25" t="inlineStr">
        <is>
          <t>м²</t>
        </is>
      </c>
      <c r="E43" s="26" t="n">
        <v>1800</v>
      </c>
      <c r="F43" s="12" t="n"/>
      <c r="G43" s="27">
        <f>IF(OR(F43="",F43=0),0,E43*F43)</f>
        <v/>
      </c>
      <c r="H43" s="28" t="inlineStr">
        <is>
          <t>Добавлено от руки внизу 1-й страницы</t>
        </is>
      </c>
      <c r="I43" t="inlineStr">
        <is>
          <t>Штукатурка и шпатлёвка</t>
        </is>
      </c>
    </row>
    <row r="44" ht="20" customHeight="1">
      <c r="A44" s="35" t="n"/>
      <c r="B44" s="35" t="inlineStr">
        <is>
          <t>Стеклохолст, обои и окраска</t>
        </is>
      </c>
    </row>
    <row r="45" ht="22" customHeight="1">
      <c r="A45" s="36" t="inlineStr"/>
      <c r="B45" s="8" t="n">
        <v>32</v>
      </c>
      <c r="C45" s="9" t="inlineStr">
        <is>
          <t>Поклейка стен и потолков стеклохолстом (паутинкой)</t>
        </is>
      </c>
      <c r="D45" s="10" t="inlineStr">
        <is>
          <t>м²</t>
        </is>
      </c>
      <c r="E45" s="11" t="n">
        <v>350</v>
      </c>
      <c r="F45" s="12" t="n"/>
      <c r="G45" s="13">
        <f>IF(OR(F45="",F45=0),0,E45*F45)</f>
        <v/>
      </c>
      <c r="H45" s="14" t="inlineStr"/>
      <c r="I45" t="inlineStr">
        <is>
          <t>Стеклохолст, обои и окраска</t>
        </is>
      </c>
    </row>
    <row r="46" ht="22" customHeight="1">
      <c r="A46" s="36" t="inlineStr"/>
      <c r="B46" s="15" t="n">
        <v>33</v>
      </c>
      <c r="C46" s="16" t="inlineStr">
        <is>
          <t>Шпатлёвка стен под обои за 2 раза (включая шлифовку)</t>
        </is>
      </c>
      <c r="D46" s="17" t="inlineStr">
        <is>
          <t>м²</t>
        </is>
      </c>
      <c r="E46" s="18" t="n">
        <v>600</v>
      </c>
      <c r="F46" s="12" t="n"/>
      <c r="G46" s="19">
        <f>IF(OR(F46="",F46=0),0,E46*F46)</f>
        <v/>
      </c>
      <c r="H46" s="20" t="inlineStr"/>
      <c r="I46" t="inlineStr">
        <is>
          <t>Стеклохолст, обои и окраска</t>
        </is>
      </c>
    </row>
    <row r="47" ht="22" customHeight="1">
      <c r="A47" s="36" t="inlineStr"/>
      <c r="B47" s="23" t="n">
        <v>34</v>
      </c>
      <c r="C47" s="24" t="inlineStr">
        <is>
          <t>Шпатлёвка стен под покраску за 2 раза (включая шлифовку)</t>
        </is>
      </c>
      <c r="D47" s="25" t="inlineStr">
        <is>
          <t>м²</t>
        </is>
      </c>
      <c r="E47" s="26" t="n">
        <v>800</v>
      </c>
      <c r="F47" s="12" t="n"/>
      <c r="G47" s="27">
        <f>IF(OR(F47="",F47=0),0,E47*F47)</f>
        <v/>
      </c>
      <c r="H47" s="28" t="inlineStr">
        <is>
          <t>Цена исправлена от руки, в скане стоит «?» — уточните</t>
        </is>
      </c>
      <c r="I47" t="inlineStr">
        <is>
          <t>Стеклохолст, обои и окраска</t>
        </is>
      </c>
    </row>
    <row r="48" ht="22" customHeight="1">
      <c r="A48" s="36" t="inlineStr"/>
      <c r="B48" s="15" t="n">
        <v>35</v>
      </c>
      <c r="C48" s="16" t="inlineStr">
        <is>
          <t>Шпаклёвка откосов под окраску за 2 раза (включая шлифовку)</t>
        </is>
      </c>
      <c r="D48" s="17" t="inlineStr">
        <is>
          <t>м²</t>
        </is>
      </c>
      <c r="E48" s="18" t="n">
        <v>600</v>
      </c>
      <c r="F48" s="12" t="n"/>
      <c r="G48" s="19">
        <f>IF(OR(F48="",F48=0),0,E48*F48)</f>
        <v/>
      </c>
      <c r="H48" s="20" t="inlineStr"/>
      <c r="I48" t="inlineStr">
        <is>
          <t>Стеклохолст, обои и окраска</t>
        </is>
      </c>
    </row>
    <row r="49" ht="22" customHeight="1">
      <c r="A49" s="36" t="inlineStr"/>
      <c r="B49" s="8" t="n">
        <v>36</v>
      </c>
      <c r="C49" s="9" t="inlineStr">
        <is>
          <t>Поклейка фотообоев на стены</t>
        </is>
      </c>
      <c r="D49" s="10" t="inlineStr">
        <is>
          <t>м²</t>
        </is>
      </c>
      <c r="E49" s="11" t="n">
        <v>1000</v>
      </c>
      <c r="F49" s="12" t="n"/>
      <c r="G49" s="13">
        <f>IF(OR(F49="",F49=0),0,E49*F49)</f>
        <v/>
      </c>
      <c r="H49" s="14" t="inlineStr"/>
      <c r="I49" t="inlineStr">
        <is>
          <t>Стеклохолст, обои и окраска</t>
        </is>
      </c>
    </row>
    <row r="50" ht="22" customHeight="1">
      <c r="A50" s="36" t="inlineStr"/>
      <c r="B50" s="15" t="n">
        <v>37</v>
      </c>
      <c r="C50" s="16" t="inlineStr">
        <is>
          <t>Поклейка обоев с подбором рисунка</t>
        </is>
      </c>
      <c r="D50" s="17" t="inlineStr">
        <is>
          <t>м²</t>
        </is>
      </c>
      <c r="E50" s="18" t="n">
        <v>700</v>
      </c>
      <c r="F50" s="12" t="n"/>
      <c r="G50" s="19">
        <f>IF(OR(F50="",F50=0),0,E50*F50)</f>
        <v/>
      </c>
      <c r="H50" s="20" t="inlineStr"/>
      <c r="I50" t="inlineStr">
        <is>
          <t>Стеклохолст, обои и окраска</t>
        </is>
      </c>
    </row>
    <row r="51" ht="22" customHeight="1">
      <c r="A51" s="36" t="inlineStr"/>
      <c r="B51" s="8" t="n">
        <v>38</v>
      </c>
      <c r="C51" s="9" t="inlineStr">
        <is>
          <t>Поклейка обоев под окраску</t>
        </is>
      </c>
      <c r="D51" s="10" t="inlineStr">
        <is>
          <t>м²</t>
        </is>
      </c>
      <c r="E51" s="11" t="n">
        <v>500</v>
      </c>
      <c r="F51" s="12" t="n"/>
      <c r="G51" s="13">
        <f>IF(OR(F51="",F51=0),0,E51*F51)</f>
        <v/>
      </c>
      <c r="H51" s="14" t="inlineStr"/>
      <c r="I51" t="inlineStr">
        <is>
          <t>Стеклохолст, обои и окраска</t>
        </is>
      </c>
    </row>
    <row r="52" ht="22" customHeight="1">
      <c r="A52" s="36" t="inlineStr"/>
      <c r="B52" s="23" t="n">
        <v>39</v>
      </c>
      <c r="C52" s="24" t="inlineStr">
        <is>
          <t>Окраска потолков в/э краской за 2 раза</t>
        </is>
      </c>
      <c r="D52" s="25" t="inlineStr">
        <is>
          <t>м²</t>
        </is>
      </c>
      <c r="E52" s="26" t="n">
        <v>400</v>
      </c>
      <c r="F52" s="12" t="n"/>
      <c r="G52" s="27">
        <f>IF(OR(F52="",F52=0),0,E52*F52)</f>
        <v/>
      </c>
      <c r="H52" s="28" t="inlineStr">
        <is>
          <t>Цена исправлена от руки (было 900)</t>
        </is>
      </c>
      <c r="I52" t="inlineStr">
        <is>
          <t>Стеклохолст, обои и окраска</t>
        </is>
      </c>
    </row>
    <row r="53" ht="22" customHeight="1">
      <c r="A53" s="36" t="inlineStr"/>
      <c r="B53" s="23" t="n">
        <v>40</v>
      </c>
      <c r="C53" s="24" t="inlineStr">
        <is>
          <t>Окраска стен в/э краской за 2 раза</t>
        </is>
      </c>
      <c r="D53" s="25" t="inlineStr">
        <is>
          <t>м²</t>
        </is>
      </c>
      <c r="E53" s="26" t="n">
        <v>400</v>
      </c>
      <c r="F53" s="12" t="n"/>
      <c r="G53" s="27">
        <f>IF(OR(F53="",F53=0),0,E53*F53)</f>
        <v/>
      </c>
      <c r="H53" s="28" t="inlineStr">
        <is>
          <t>Цена исправлена от руки</t>
        </is>
      </c>
      <c r="I53" t="inlineStr">
        <is>
          <t>Стеклохолст, обои и окраска</t>
        </is>
      </c>
    </row>
    <row r="54" ht="22" customHeight="1">
      <c r="A54" s="36" t="inlineStr"/>
      <c r="B54" s="15" t="n">
        <v>41</v>
      </c>
      <c r="C54" s="16" t="inlineStr">
        <is>
          <t>Окраска обоев в/э краской за 2 раза</t>
        </is>
      </c>
      <c r="D54" s="17" t="inlineStr">
        <is>
          <t>м²</t>
        </is>
      </c>
      <c r="E54" s="18" t="n">
        <v>500</v>
      </c>
      <c r="F54" s="12" t="n"/>
      <c r="G54" s="19">
        <f>IF(OR(F54="",F54=0),0,E54*F54)</f>
        <v/>
      </c>
      <c r="H54" s="20" t="inlineStr"/>
      <c r="I54" t="inlineStr">
        <is>
          <t>Стеклохолст, обои и окраска</t>
        </is>
      </c>
    </row>
    <row r="55" ht="22" customHeight="1">
      <c r="A55" s="36" t="inlineStr"/>
      <c r="B55" s="8" t="n">
        <v>42</v>
      </c>
      <c r="C55" s="9" t="inlineStr">
        <is>
          <t>Окраска откосов в/э краской за 2 раза</t>
        </is>
      </c>
      <c r="D55" s="10" t="inlineStr">
        <is>
          <t>м²</t>
        </is>
      </c>
      <c r="E55" s="11" t="n">
        <v>500</v>
      </c>
      <c r="F55" s="12" t="n"/>
      <c r="G55" s="13">
        <f>IF(OR(F55="",F55=0),0,E55*F55)</f>
        <v/>
      </c>
      <c r="H55" s="14" t="inlineStr"/>
      <c r="I55" t="inlineStr">
        <is>
          <t>Стеклохолст, обои и окраска</t>
        </is>
      </c>
    </row>
    <row r="56" ht="20" customHeight="1">
      <c r="A56" s="37" t="n"/>
      <c r="B56" s="37" t="inlineStr">
        <is>
          <t>Плитка</t>
        </is>
      </c>
    </row>
    <row r="57" ht="22" customHeight="1">
      <c r="A57" s="38" t="inlineStr"/>
      <c r="B57" s="39" t="n">
        <v>43</v>
      </c>
      <c r="C57" s="40" t="inlineStr">
        <is>
          <t>Облицовка стен плиткой</t>
        </is>
      </c>
      <c r="D57" s="41" t="inlineStr">
        <is>
          <t>м²</t>
        </is>
      </c>
      <c r="E57" s="42" t="n">
        <v>2000</v>
      </c>
      <c r="F57" s="12" t="n"/>
      <c r="G57" s="43">
        <f>IF(OR(F57="",F57=0),0,E57*F57)</f>
        <v/>
      </c>
      <c r="H57" s="44" t="inlineStr">
        <is>
          <t>Обведено на скане</t>
        </is>
      </c>
      <c r="I57" t="inlineStr">
        <is>
          <t>Плитка</t>
        </is>
      </c>
    </row>
    <row r="58" ht="22" customHeight="1">
      <c r="A58" s="38" t="inlineStr"/>
      <c r="B58" s="39" t="n">
        <v>44</v>
      </c>
      <c r="C58" s="40" t="inlineStr">
        <is>
          <t>Устройство лючка из плитки (с монтажом механизма)</t>
        </is>
      </c>
      <c r="D58" s="41" t="inlineStr">
        <is>
          <t>шт.</t>
        </is>
      </c>
      <c r="E58" s="42" t="n">
        <v>3000</v>
      </c>
      <c r="F58" s="12" t="n"/>
      <c r="G58" s="43">
        <f>IF(OR(F58="",F58=0),0,E58*F58)</f>
        <v/>
      </c>
      <c r="H58" s="44" t="inlineStr">
        <is>
          <t>Обведено на скане</t>
        </is>
      </c>
      <c r="I58" t="inlineStr">
        <is>
          <t>Плитка</t>
        </is>
      </c>
    </row>
    <row r="59" ht="22" customHeight="1">
      <c r="A59" s="38" t="inlineStr"/>
      <c r="B59" s="39" t="n">
        <v>45</v>
      </c>
      <c r="C59" s="40" t="inlineStr">
        <is>
          <t>Эпоксидная затирка швов плитки</t>
        </is>
      </c>
      <c r="D59" s="41" t="inlineStr">
        <is>
          <t>м²</t>
        </is>
      </c>
      <c r="E59" s="42" t="n">
        <v>500</v>
      </c>
      <c r="F59" s="12" t="n"/>
      <c r="G59" s="43">
        <f>IF(OR(F59="",F59=0),0,E59*F59)</f>
        <v/>
      </c>
      <c r="H59" s="44" t="inlineStr">
        <is>
          <t>Обведено на скане</t>
        </is>
      </c>
      <c r="I59" t="inlineStr">
        <is>
          <t>Плитка</t>
        </is>
      </c>
    </row>
    <row r="60" ht="22" customHeight="1">
      <c r="A60" s="38" t="inlineStr"/>
      <c r="B60" s="15" t="n">
        <v>46</v>
      </c>
      <c r="C60" s="16" t="inlineStr">
        <is>
          <t>Укладка плитки на пол по диагонали</t>
        </is>
      </c>
      <c r="D60" s="17" t="inlineStr">
        <is>
          <t>м²</t>
        </is>
      </c>
      <c r="E60" s="18" t="n">
        <v>2500</v>
      </c>
      <c r="F60" s="12" t="n"/>
      <c r="G60" s="19">
        <f>IF(OR(F60="",F60=0),0,E60*F60)</f>
        <v/>
      </c>
      <c r="H60" s="20" t="inlineStr"/>
      <c r="I60" t="inlineStr">
        <is>
          <t>Плитка</t>
        </is>
      </c>
    </row>
    <row r="61" ht="22" customHeight="1">
      <c r="A61" s="38" t="inlineStr"/>
      <c r="B61" s="8" t="n">
        <v>47</v>
      </c>
      <c r="C61" s="9" t="inlineStr">
        <is>
          <t>Укладка плитки на пол</t>
        </is>
      </c>
      <c r="D61" s="10" t="inlineStr">
        <is>
          <t>м²</t>
        </is>
      </c>
      <c r="E61" s="11" t="n">
        <v>2000</v>
      </c>
      <c r="F61" s="12" t="n"/>
      <c r="G61" s="13">
        <f>IF(OR(F61="",F61=0),0,E61*F61)</f>
        <v/>
      </c>
      <c r="H61" s="14" t="inlineStr"/>
      <c r="I61" t="inlineStr">
        <is>
          <t>Плитка</t>
        </is>
      </c>
    </row>
    <row r="62" ht="22" customHeight="1">
      <c r="A62" s="38" t="inlineStr"/>
      <c r="B62" s="45" t="n">
        <v>48</v>
      </c>
      <c r="C62" s="46" t="inlineStr">
        <is>
          <t>Сверление отверстий в плитке</t>
        </is>
      </c>
      <c r="D62" s="47" t="inlineStr">
        <is>
          <t>шт.</t>
        </is>
      </c>
      <c r="E62" s="48" t="n">
        <v>800</v>
      </c>
      <c r="F62" s="49" t="n"/>
      <c r="G62" s="50">
        <f>IF(OR(F62="",F62=0),0,E62*F62)</f>
        <v/>
      </c>
      <c r="H62" s="51" t="inlineStr">
        <is>
          <t>На скане помечено «не входит»</t>
        </is>
      </c>
      <c r="I62" t="inlineStr">
        <is>
          <t>Плитка</t>
        </is>
      </c>
    </row>
    <row r="63" ht="22" customHeight="1">
      <c r="A63" s="38" t="inlineStr"/>
      <c r="B63" s="8" t="n">
        <v>49</v>
      </c>
      <c r="C63" s="9" t="inlineStr">
        <is>
          <t>Устройство плинтусов ПВХ</t>
        </is>
      </c>
      <c r="D63" s="10" t="inlineStr">
        <is>
          <t>м.п.</t>
        </is>
      </c>
      <c r="E63" s="11" t="n">
        <v>300</v>
      </c>
      <c r="F63" s="12" t="n"/>
      <c r="G63" s="13">
        <f>IF(OR(F63="",F63=0),0,E63*F63)</f>
        <v/>
      </c>
      <c r="H63" s="14" t="inlineStr"/>
      <c r="I63" t="inlineStr">
        <is>
          <t>Плитка</t>
        </is>
      </c>
    </row>
    <row r="64" ht="22" customHeight="1">
      <c r="A64" s="38" t="inlineStr"/>
      <c r="B64" s="15" t="n">
        <v>50</v>
      </c>
      <c r="C64" s="16" t="inlineStr">
        <is>
          <t>Устройство плинтусов из алюминия</t>
        </is>
      </c>
      <c r="D64" s="17" t="inlineStr">
        <is>
          <t>м.п.</t>
        </is>
      </c>
      <c r="E64" s="18" t="n">
        <v>400</v>
      </c>
      <c r="F64" s="12" t="n"/>
      <c r="G64" s="19">
        <f>IF(OR(F64="",F64=0),0,E64*F64)</f>
        <v/>
      </c>
      <c r="H64" s="20" t="inlineStr"/>
      <c r="I64" t="inlineStr">
        <is>
          <t>Плитка</t>
        </is>
      </c>
    </row>
    <row r="65" ht="22" customHeight="1">
      <c r="A65" s="38" t="inlineStr"/>
      <c r="B65" s="8" t="n">
        <v>51</v>
      </c>
      <c r="C65" s="9" t="inlineStr">
        <is>
          <t>Устройство плинтусов из плитки (готовый плинтус)</t>
        </is>
      </c>
      <c r="D65" s="10" t="inlineStr">
        <is>
          <t>м.п.</t>
        </is>
      </c>
      <c r="E65" s="11" t="n">
        <v>800</v>
      </c>
      <c r="F65" s="12" t="n"/>
      <c r="G65" s="13">
        <f>IF(OR(F65="",F65=0),0,E65*F65)</f>
        <v/>
      </c>
      <c r="H65" s="14" t="inlineStr"/>
      <c r="I65" t="inlineStr">
        <is>
          <t>Плитка</t>
        </is>
      </c>
    </row>
    <row r="66" ht="22" customHeight="1">
      <c r="A66" s="38" t="inlineStr"/>
      <c r="B66" s="15" t="n">
        <v>52</v>
      </c>
      <c r="C66" s="16" t="inlineStr">
        <is>
          <t>Устройство плинтусов из плитки (с изготовлением)</t>
        </is>
      </c>
      <c r="D66" s="17" t="inlineStr">
        <is>
          <t>м.п.</t>
        </is>
      </c>
      <c r="E66" s="18" t="n">
        <v>1500</v>
      </c>
      <c r="F66" s="12" t="n"/>
      <c r="G66" s="19">
        <f>IF(OR(F66="",F66=0),0,E66*F66)</f>
        <v/>
      </c>
      <c r="H66" s="20" t="inlineStr"/>
      <c r="I66" t="inlineStr">
        <is>
          <t>Плитка</t>
        </is>
      </c>
    </row>
    <row r="67" ht="22" customHeight="1">
      <c r="A67" s="38" t="inlineStr"/>
      <c r="B67" s="8" t="n">
        <v>53</v>
      </c>
      <c r="C67" s="9" t="inlineStr">
        <is>
          <t>Облицовка откосов плиткой по 45°, керамика</t>
        </is>
      </c>
      <c r="D67" s="10" t="inlineStr">
        <is>
          <t>м.п.</t>
        </is>
      </c>
      <c r="E67" s="11" t="n">
        <v>2000</v>
      </c>
      <c r="F67" s="12" t="n"/>
      <c r="G67" s="13">
        <f>IF(OR(F67="",F67=0),0,E67*F67)</f>
        <v/>
      </c>
      <c r="H67" s="14" t="inlineStr"/>
      <c r="I67" t="inlineStr">
        <is>
          <t>Плитка</t>
        </is>
      </c>
    </row>
    <row r="68" ht="22" customHeight="1">
      <c r="A68" s="38" t="inlineStr"/>
      <c r="B68" s="15" t="n">
        <v>54</v>
      </c>
      <c r="C68" s="16" t="inlineStr">
        <is>
          <t>Резка 45° керамической плитки</t>
        </is>
      </c>
      <c r="D68" s="17" t="inlineStr">
        <is>
          <t>м.п.</t>
        </is>
      </c>
      <c r="E68" s="18" t="n">
        <v>1000</v>
      </c>
      <c r="F68" s="12" t="n"/>
      <c r="G68" s="19">
        <f>IF(OR(F68="",F68=0),0,E68*F68)</f>
        <v/>
      </c>
      <c r="H68" s="20" t="inlineStr">
        <is>
          <t>Подчёркнуто на скане</t>
        </is>
      </c>
      <c r="I68" t="inlineStr">
        <is>
          <t>Плитка</t>
        </is>
      </c>
    </row>
    <row r="69" ht="22" customHeight="1">
      <c r="A69" s="38" t="inlineStr"/>
      <c r="B69" s="8" t="n">
        <v>55</v>
      </c>
      <c r="C69" s="9" t="inlineStr">
        <is>
          <t>Резка 45° керамической плитки в ступенях, включая всю работу</t>
        </is>
      </c>
      <c r="D69" s="10" t="inlineStr">
        <is>
          <t>м.п.</t>
        </is>
      </c>
      <c r="E69" s="11" t="n">
        <v>3000</v>
      </c>
      <c r="F69" s="12" t="n"/>
      <c r="G69" s="13">
        <f>IF(OR(F69="",F69=0),0,E69*F69)</f>
        <v/>
      </c>
      <c r="H69" s="14" t="inlineStr"/>
      <c r="I69" t="inlineStr">
        <is>
          <t>Плитка</t>
        </is>
      </c>
    </row>
    <row r="70" ht="20" customHeight="1">
      <c r="A70" s="52" t="n"/>
      <c r="B70" s="52" t="inlineStr">
        <is>
          <t>Двери и комплектующие</t>
        </is>
      </c>
    </row>
    <row r="71" ht="22" customHeight="1">
      <c r="A71" s="53" t="inlineStr"/>
      <c r="B71" s="8" t="n">
        <v>56</v>
      </c>
      <c r="C71" s="9" t="inlineStr">
        <is>
          <t>Устройство металлических входных дверей</t>
        </is>
      </c>
      <c r="D71" s="10" t="inlineStr">
        <is>
          <t>шт.</t>
        </is>
      </c>
      <c r="E71" s="11" t="n">
        <v>5000</v>
      </c>
      <c r="F71" s="12" t="n"/>
      <c r="G71" s="13">
        <f>IF(OR(F71="",F71=0),0,E71*F71)</f>
        <v/>
      </c>
      <c r="H71" s="14" t="inlineStr"/>
      <c r="I71" t="inlineStr">
        <is>
          <t>Двери и комплектующие</t>
        </is>
      </c>
    </row>
    <row r="72" ht="22" customHeight="1">
      <c r="A72" s="53" t="inlineStr"/>
      <c r="B72" s="15" t="n">
        <v>57</v>
      </c>
      <c r="C72" s="16" t="inlineStr">
        <is>
          <t>Установка межкомнатных дверей</t>
        </is>
      </c>
      <c r="D72" s="17" t="inlineStr">
        <is>
          <t>шт.</t>
        </is>
      </c>
      <c r="E72" s="18" t="n">
        <v>5000</v>
      </c>
      <c r="F72" s="12" t="n"/>
      <c r="G72" s="19">
        <f>IF(OR(F72="",F72=0),0,E72*F72)</f>
        <v/>
      </c>
      <c r="H72" s="20" t="inlineStr"/>
      <c r="I72" t="inlineStr">
        <is>
          <t>Двери и комплектующие</t>
        </is>
      </c>
    </row>
    <row r="73" ht="22" customHeight="1">
      <c r="A73" s="53" t="inlineStr"/>
      <c r="B73" s="8" t="n">
        <v>58</v>
      </c>
      <c r="C73" s="9" t="inlineStr">
        <is>
          <t>Установка двухстворчатой двери</t>
        </is>
      </c>
      <c r="D73" s="10" t="inlineStr">
        <is>
          <t>шт.</t>
        </is>
      </c>
      <c r="E73" s="11" t="n">
        <v>6000</v>
      </c>
      <c r="F73" s="12" t="n"/>
      <c r="G73" s="13">
        <f>IF(OR(F73="",F73=0),0,E73*F73)</f>
        <v/>
      </c>
      <c r="H73" s="14" t="inlineStr"/>
      <c r="I73" t="inlineStr">
        <is>
          <t>Двери и комплектующие</t>
        </is>
      </c>
    </row>
    <row r="74" ht="22" customHeight="1">
      <c r="A74" s="53" t="inlineStr"/>
      <c r="B74" s="15" t="inlineStr">
        <is>
          <t>58а</t>
        </is>
      </c>
      <c r="C74" s="16" t="inlineStr">
        <is>
          <t>Установка доборов</t>
        </is>
      </c>
      <c r="D74" s="17" t="inlineStr">
        <is>
          <t>м.п.</t>
        </is>
      </c>
      <c r="E74" s="18" t="n">
        <v>1000</v>
      </c>
      <c r="F74" s="12" t="n"/>
      <c r="G74" s="19">
        <f>IF(OR(F74="",F74=0),0,E74*F74)</f>
        <v/>
      </c>
      <c r="H74" s="20" t="inlineStr">
        <is>
          <t>В скане позиция повторно пронумерована как 57</t>
        </is>
      </c>
      <c r="I74" t="inlineStr">
        <is>
          <t>Двери и комплектующие</t>
        </is>
      </c>
    </row>
    <row r="75" ht="22" customHeight="1">
      <c r="A75" s="53" t="inlineStr"/>
      <c r="B75" s="8" t="n">
        <v>59</v>
      </c>
      <c r="C75" s="9" t="inlineStr">
        <is>
          <t>Врезка замков</t>
        </is>
      </c>
      <c r="D75" s="10" t="inlineStr">
        <is>
          <t>шт.</t>
        </is>
      </c>
      <c r="E75" s="11" t="n">
        <v>1000</v>
      </c>
      <c r="F75" s="12" t="n"/>
      <c r="G75" s="13">
        <f>IF(OR(F75="",F75=0),0,E75*F75)</f>
        <v/>
      </c>
      <c r="H75" s="14" t="inlineStr"/>
      <c r="I75" t="inlineStr">
        <is>
          <t>Двери и комплектующие</t>
        </is>
      </c>
    </row>
    <row r="76" ht="22" customHeight="1">
      <c r="A76" s="53" t="inlineStr"/>
      <c r="B76" s="15" t="n">
        <v>60</v>
      </c>
      <c r="C76" s="16" t="inlineStr">
        <is>
          <t>Установка наличника</t>
        </is>
      </c>
      <c r="D76" s="17" t="inlineStr">
        <is>
          <t>м.п.</t>
        </is>
      </c>
      <c r="E76" s="18" t="n">
        <v>500</v>
      </c>
      <c r="F76" s="12" t="n"/>
      <c r="G76" s="19">
        <f>IF(OR(F76="",F76=0),0,E76*F76)</f>
        <v/>
      </c>
      <c r="H76" s="20" t="inlineStr"/>
      <c r="I76" t="inlineStr">
        <is>
          <t>Двери и комплектующие</t>
        </is>
      </c>
    </row>
    <row r="78" ht="26" customHeight="1">
      <c r="A78" s="1" t="n"/>
      <c r="B78" s="54" t="inlineStr">
        <is>
          <t>ИТОГО ПО СМЕТЕ  (заполните количество в зелёных ячейках)</t>
        </is>
      </c>
      <c r="G78" s="55">
        <f>SUM(G7:G76)</f>
        <v/>
      </c>
      <c r="H78" s="1" t="n"/>
    </row>
    <row r="80">
      <c r="B80" s="56" t="inlineStr">
        <is>
          <t>Сводка по разделам</t>
        </is>
      </c>
    </row>
    <row r="81">
      <c r="B81" s="57" t="inlineStr">
        <is>
          <t>Раздел</t>
        </is>
      </c>
      <c r="C81" s="57" t="inlineStr">
        <is>
          <t>Позиций</t>
        </is>
      </c>
      <c r="D81" s="58" t="n"/>
      <c r="E81" s="57" t="inlineStr">
        <is>
          <t>Сумма раздела, ₽</t>
        </is>
      </c>
      <c r="F81" s="58" t="n"/>
    </row>
    <row r="82">
      <c r="A82" s="1" t="n"/>
      <c r="B82" s="59" t="inlineStr">
        <is>
          <t>Полы и стяжка</t>
        </is>
      </c>
      <c r="C82" s="60">
        <f>COUNTIF($I$7:$I$76,B82)</f>
        <v/>
      </c>
      <c r="D82" s="61" t="n"/>
      <c r="E82" s="62">
        <f>SUMIF($I$7:$I$76,B82,$G$7:$G$76)</f>
        <v/>
      </c>
      <c r="F82" s="61" t="n"/>
    </row>
    <row r="83">
      <c r="A83" s="22" t="n"/>
      <c r="B83" s="63" t="inlineStr">
        <is>
          <t>Потолки и монтаж</t>
        </is>
      </c>
      <c r="C83" s="64">
        <f>COUNTIF($I$7:$I$76,B83)</f>
        <v/>
      </c>
      <c r="D83" s="65" t="n"/>
      <c r="E83" s="66">
        <f>SUMIF($I$7:$I$76,B83,$G$7:$G$76)</f>
        <v/>
      </c>
      <c r="F83" s="65" t="n"/>
    </row>
    <row r="84">
      <c r="A84" s="30" t="n"/>
      <c r="B84" s="59" t="inlineStr">
        <is>
          <t>Грунтование</t>
        </is>
      </c>
      <c r="C84" s="60">
        <f>COUNTIF($I$7:$I$76,B84)</f>
        <v/>
      </c>
      <c r="D84" s="61" t="n"/>
      <c r="E84" s="62">
        <f>SUMIF($I$7:$I$76,B84,$G$7:$G$76)</f>
        <v/>
      </c>
      <c r="F84" s="61" t="n"/>
    </row>
    <row r="85">
      <c r="A85" s="32" t="n"/>
      <c r="B85" s="63" t="inlineStr">
        <is>
          <t>Гипсокартон и утепление</t>
        </is>
      </c>
      <c r="C85" s="64">
        <f>COUNTIF($I$7:$I$76,B85)</f>
        <v/>
      </c>
      <c r="D85" s="65" t="n"/>
      <c r="E85" s="66">
        <f>SUMIF($I$7:$I$76,B85,$G$7:$G$76)</f>
        <v/>
      </c>
      <c r="F85" s="65" t="n"/>
    </row>
    <row r="86">
      <c r="A86" s="34" t="n"/>
      <c r="B86" s="59" t="inlineStr">
        <is>
          <t>Штукатурка и шпатлёвка</t>
        </is>
      </c>
      <c r="C86" s="60">
        <f>COUNTIF($I$7:$I$76,B86)</f>
        <v/>
      </c>
      <c r="D86" s="61" t="n"/>
      <c r="E86" s="62">
        <f>SUMIF($I$7:$I$76,B86,$G$7:$G$76)</f>
        <v/>
      </c>
      <c r="F86" s="61" t="n"/>
    </row>
    <row r="87">
      <c r="A87" s="36" t="n"/>
      <c r="B87" s="63" t="inlineStr">
        <is>
          <t>Стеклохолст, обои и окраска</t>
        </is>
      </c>
      <c r="C87" s="64">
        <f>COUNTIF($I$7:$I$76,B87)</f>
        <v/>
      </c>
      <c r="D87" s="65" t="n"/>
      <c r="E87" s="66">
        <f>SUMIF($I$7:$I$76,B87,$G$7:$G$76)</f>
        <v/>
      </c>
      <c r="F87" s="65" t="n"/>
    </row>
    <row r="88">
      <c r="A88" s="38" t="n"/>
      <c r="B88" s="59" t="inlineStr">
        <is>
          <t>Плитка</t>
        </is>
      </c>
      <c r="C88" s="60">
        <f>COUNTIF($I$7:$I$76,B88)</f>
        <v/>
      </c>
      <c r="D88" s="61" t="n"/>
      <c r="E88" s="62">
        <f>SUMIF($I$7:$I$76,B88,$G$7:$G$76)</f>
        <v/>
      </c>
      <c r="F88" s="61" t="n"/>
    </row>
    <row r="89">
      <c r="A89" s="53" t="n"/>
      <c r="B89" s="63" t="inlineStr">
        <is>
          <t>Двери и комплектующие</t>
        </is>
      </c>
      <c r="C89" s="64">
        <f>COUNTIF($I$7:$I$76,B89)</f>
        <v/>
      </c>
      <c r="D89" s="65" t="n"/>
      <c r="E89" s="66">
        <f>SUMIF($I$7:$I$76,B89,$G$7:$G$76)</f>
        <v/>
      </c>
      <c r="F89" s="65" t="n"/>
    </row>
  </sheetData>
  <autoFilter ref="B6:H76"/>
  <mergeCells count="31">
    <mergeCell ref="C83:D83"/>
    <mergeCell ref="C86:D86"/>
    <mergeCell ref="C89:D89"/>
    <mergeCell ref="E83:F83"/>
    <mergeCell ref="C88:D88"/>
    <mergeCell ref="B80:H80"/>
    <mergeCell ref="B5:H5"/>
    <mergeCell ref="B20:H20"/>
    <mergeCell ref="E88:F88"/>
    <mergeCell ref="E82:F82"/>
    <mergeCell ref="E87:F87"/>
    <mergeCell ref="C85:D85"/>
    <mergeCell ref="C84:D84"/>
    <mergeCell ref="B7:H7"/>
    <mergeCell ref="E84:F84"/>
    <mergeCell ref="B3:H3"/>
    <mergeCell ref="B56:H56"/>
    <mergeCell ref="B78:F78"/>
    <mergeCell ref="E86:F86"/>
    <mergeCell ref="B70:H70"/>
    <mergeCell ref="E89:F89"/>
    <mergeCell ref="B2:H2"/>
    <mergeCell ref="B11:H11"/>
    <mergeCell ref="B23:H23"/>
    <mergeCell ref="E85:F85"/>
    <mergeCell ref="C82:D82"/>
    <mergeCell ref="B44:H44"/>
    <mergeCell ref="C81:D81"/>
    <mergeCell ref="E81:F81"/>
    <mergeCell ref="B34:H34"/>
    <mergeCell ref="C87:D87"/>
  </mergeCells>
  <dataValidations count="1">
    <dataValidation sqref="F7:F76" showDropDown="0" showInputMessage="0" showErrorMessage="0" allowBlank="1" errorTitle="Ошибка" error="Количество не может быть отрицательным" promptTitle="Количество" prompt="Введите объём работ" type="decimal" operator="greaterThanOrEqual">
      <formula1>0</formula1>
    </dataValidation>
  </dataValidations>
  <printOptions horizontalCentered="1"/>
  <pageMargins left="0.5" right="0.5" top="0.7" bottom="0.6" header="0.25" footer="0.25"/>
  <pageSetup orientation="landscape" paperSize="9" fitToHeight="0" fitToWidth="1"/>
  <headerFooter>
    <oddHeader>&amp;L&amp;K1B365D&amp;B Расценки на работы&amp;R&amp;K5B6770 Сентябрь</oddHeader>
    <oddFooter>&amp;L&amp;K5B6770&amp;"Calibri" По скану прайс-листа&amp;R&amp;K5B6770 стр.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H79"/>
  <sheetViews>
    <sheetView showGridLines="0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hidden="1" width="3" customWidth="1" min="1" max="1"/>
    <col width="8" customWidth="1" min="2" max="2"/>
    <col width="68" customWidth="1" min="3" max="3"/>
    <col width="12" customWidth="1" min="4" max="4"/>
    <col width="14" customWidth="1" min="5" max="5"/>
    <col width="12" customWidth="1" min="6" max="6"/>
    <col width="16" customWidth="1" min="7" max="7"/>
    <col width="22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B2" s="67" t="inlineStr">
        <is>
          <t>СМЕТА</t>
        </is>
      </c>
    </row>
    <row r="3">
      <c r="B3" s="68" t="inlineStr">
        <is>
          <t>Объект</t>
        </is>
      </c>
      <c r="E3" s="68" t="inlineStr">
        <is>
          <t>Дата</t>
        </is>
      </c>
      <c r="G3" s="68" t="inlineStr">
        <is>
          <t>Заказчик</t>
        </is>
      </c>
    </row>
    <row r="4" ht="22" customHeight="1">
      <c r="B4" s="69" t="inlineStr"/>
      <c r="E4" s="70">
        <f>TODAY()</f>
        <v/>
      </c>
      <c r="G4" s="71" t="n"/>
    </row>
    <row r="6">
      <c r="B6" s="72" t="inlineStr">
        <is>
          <t>Сюда попадают только позиции, у которых на листе «Расценки» заполнено количество. Меняйте объёмы там — смета обновится сама.</t>
        </is>
      </c>
    </row>
    <row r="7" ht="20" customHeight="1">
      <c r="B7" s="73" t="inlineStr">
        <is>
          <t>№</t>
        </is>
      </c>
      <c r="C7" s="73" t="inlineStr">
        <is>
          <t>Наименование работ</t>
        </is>
      </c>
      <c r="D7" s="73" t="inlineStr">
        <is>
          <t>Ед. изм.</t>
        </is>
      </c>
      <c r="E7" s="73" t="inlineStr">
        <is>
          <t>Цена, ₽</t>
        </is>
      </c>
      <c r="F7" s="73" t="inlineStr">
        <is>
          <t>Кол-во</t>
        </is>
      </c>
      <c r="G7" s="73" t="inlineStr">
        <is>
          <t>Сумма, ₽</t>
        </is>
      </c>
      <c r="H7" s="73" t="inlineStr">
        <is>
          <t>Раздел</t>
        </is>
      </c>
    </row>
    <row r="8" ht="20" customHeight="1">
      <c r="A8">
        <f>IFERROR(AGGREGATE(15,6,ROW(Расценки!$F$7:$F$76)/(Расценки!$F$7:$F$76&gt;0),1),"")</f>
        <v/>
      </c>
      <c r="B8" s="74">
        <f>IF($A8="","",INDEX(Расценки!B:B,$A8))</f>
        <v/>
      </c>
      <c r="C8" s="75">
        <f>IF($A8="","",INDEX(Расценки!C:C,$A8))</f>
        <v/>
      </c>
      <c r="D8" s="76">
        <f>IF($A8="","",INDEX(Расценки!D:D,$A8))</f>
        <v/>
      </c>
      <c r="E8" s="77">
        <f>IF($A8="","",INDEX(Расценки!E:E,$A8))</f>
        <v/>
      </c>
      <c r="F8" s="78">
        <f>IF($A8="","",INDEX(Расценки!F:F,$A8))</f>
        <v/>
      </c>
      <c r="G8" s="77">
        <f>IF($A8="","",INDEX(Расценки!G:G,$A8))</f>
        <v/>
      </c>
      <c r="H8" s="79">
        <f>IF($A8="","",INDEX(Расценки!I:I,$A8))</f>
        <v/>
      </c>
    </row>
    <row r="9" ht="20" customHeight="1">
      <c r="A9">
        <f>IFERROR(AGGREGATE(15,6,ROW(Расценки!$F$7:$F$76)/(Расценки!$F$7:$F$76&gt;0),2),"")</f>
        <v/>
      </c>
      <c r="B9" s="80">
        <f>IF($A9="","",INDEX(Расценки!B:B,$A9))</f>
        <v/>
      </c>
      <c r="C9" s="81">
        <f>IF($A9="","",INDEX(Расценки!C:C,$A9))</f>
        <v/>
      </c>
      <c r="D9" s="82">
        <f>IF($A9="","",INDEX(Расценки!D:D,$A9))</f>
        <v/>
      </c>
      <c r="E9" s="83">
        <f>IF($A9="","",INDEX(Расценки!E:E,$A9))</f>
        <v/>
      </c>
      <c r="F9" s="84">
        <f>IF($A9="","",INDEX(Расценки!F:F,$A9))</f>
        <v/>
      </c>
      <c r="G9" s="83">
        <f>IF($A9="","",INDEX(Расценки!G:G,$A9))</f>
        <v/>
      </c>
      <c r="H9" s="85">
        <f>IF($A9="","",INDEX(Расценки!I:I,$A9))</f>
        <v/>
      </c>
    </row>
    <row r="10" ht="20" customHeight="1">
      <c r="A10">
        <f>IFERROR(AGGREGATE(15,6,ROW(Расценки!$F$7:$F$76)/(Расценки!$F$7:$F$76&gt;0),3),"")</f>
        <v/>
      </c>
      <c r="B10" s="74">
        <f>IF($A10="","",INDEX(Расценки!B:B,$A10))</f>
        <v/>
      </c>
      <c r="C10" s="75">
        <f>IF($A10="","",INDEX(Расценки!C:C,$A10))</f>
        <v/>
      </c>
      <c r="D10" s="76">
        <f>IF($A10="","",INDEX(Расценки!D:D,$A10))</f>
        <v/>
      </c>
      <c r="E10" s="77">
        <f>IF($A10="","",INDEX(Расценки!E:E,$A10))</f>
        <v/>
      </c>
      <c r="F10" s="78">
        <f>IF($A10="","",INDEX(Расценки!F:F,$A10))</f>
        <v/>
      </c>
      <c r="G10" s="77">
        <f>IF($A10="","",INDEX(Расценки!G:G,$A10))</f>
        <v/>
      </c>
      <c r="H10" s="79">
        <f>IF($A10="","",INDEX(Расценки!I:I,$A10))</f>
        <v/>
      </c>
    </row>
    <row r="11" ht="20" customHeight="1">
      <c r="A11">
        <f>IFERROR(AGGREGATE(15,6,ROW(Расценки!$F$7:$F$76)/(Расценки!$F$7:$F$76&gt;0),4),"")</f>
        <v/>
      </c>
      <c r="B11" s="80">
        <f>IF($A11="","",INDEX(Расценки!B:B,$A11))</f>
        <v/>
      </c>
      <c r="C11" s="81">
        <f>IF($A11="","",INDEX(Расценки!C:C,$A11))</f>
        <v/>
      </c>
      <c r="D11" s="82">
        <f>IF($A11="","",INDEX(Расценки!D:D,$A11))</f>
        <v/>
      </c>
      <c r="E11" s="83">
        <f>IF($A11="","",INDEX(Расценки!E:E,$A11))</f>
        <v/>
      </c>
      <c r="F11" s="84">
        <f>IF($A11="","",INDEX(Расценки!F:F,$A11))</f>
        <v/>
      </c>
      <c r="G11" s="83">
        <f>IF($A11="","",INDEX(Расценки!G:G,$A11))</f>
        <v/>
      </c>
      <c r="H11" s="85">
        <f>IF($A11="","",INDEX(Расценки!I:I,$A11))</f>
        <v/>
      </c>
    </row>
    <row r="12" ht="20" customHeight="1">
      <c r="A12">
        <f>IFERROR(AGGREGATE(15,6,ROW(Расценки!$F$7:$F$76)/(Расценки!$F$7:$F$76&gt;0),5),"")</f>
        <v/>
      </c>
      <c r="B12" s="74">
        <f>IF($A12="","",INDEX(Расценки!B:B,$A12))</f>
        <v/>
      </c>
      <c r="C12" s="75">
        <f>IF($A12="","",INDEX(Расценки!C:C,$A12))</f>
        <v/>
      </c>
      <c r="D12" s="76">
        <f>IF($A12="","",INDEX(Расценки!D:D,$A12))</f>
        <v/>
      </c>
      <c r="E12" s="77">
        <f>IF($A12="","",INDEX(Расценки!E:E,$A12))</f>
        <v/>
      </c>
      <c r="F12" s="78">
        <f>IF($A12="","",INDEX(Расценки!F:F,$A12))</f>
        <v/>
      </c>
      <c r="G12" s="77">
        <f>IF($A12="","",INDEX(Расценки!G:G,$A12))</f>
        <v/>
      </c>
      <c r="H12" s="79">
        <f>IF($A12="","",INDEX(Расценки!I:I,$A12))</f>
        <v/>
      </c>
    </row>
    <row r="13" ht="20" customHeight="1">
      <c r="A13">
        <f>IFERROR(AGGREGATE(15,6,ROW(Расценки!$F$7:$F$76)/(Расценки!$F$7:$F$76&gt;0),6),"")</f>
        <v/>
      </c>
      <c r="B13" s="80">
        <f>IF($A13="","",INDEX(Расценки!B:B,$A13))</f>
        <v/>
      </c>
      <c r="C13" s="81">
        <f>IF($A13="","",INDEX(Расценки!C:C,$A13))</f>
        <v/>
      </c>
      <c r="D13" s="82">
        <f>IF($A13="","",INDEX(Расценки!D:D,$A13))</f>
        <v/>
      </c>
      <c r="E13" s="83">
        <f>IF($A13="","",INDEX(Расценки!E:E,$A13))</f>
        <v/>
      </c>
      <c r="F13" s="84">
        <f>IF($A13="","",INDEX(Расценки!F:F,$A13))</f>
        <v/>
      </c>
      <c r="G13" s="83">
        <f>IF($A13="","",INDEX(Расценки!G:G,$A13))</f>
        <v/>
      </c>
      <c r="H13" s="85">
        <f>IF($A13="","",INDEX(Расценки!I:I,$A13))</f>
        <v/>
      </c>
    </row>
    <row r="14" ht="20" customHeight="1">
      <c r="A14">
        <f>IFERROR(AGGREGATE(15,6,ROW(Расценки!$F$7:$F$76)/(Расценки!$F$7:$F$76&gt;0),7),"")</f>
        <v/>
      </c>
      <c r="B14" s="74">
        <f>IF($A14="","",INDEX(Расценки!B:B,$A14))</f>
        <v/>
      </c>
      <c r="C14" s="75">
        <f>IF($A14="","",INDEX(Расценки!C:C,$A14))</f>
        <v/>
      </c>
      <c r="D14" s="76">
        <f>IF($A14="","",INDEX(Расценки!D:D,$A14))</f>
        <v/>
      </c>
      <c r="E14" s="77">
        <f>IF($A14="","",INDEX(Расценки!E:E,$A14))</f>
        <v/>
      </c>
      <c r="F14" s="78">
        <f>IF($A14="","",INDEX(Расценки!F:F,$A14))</f>
        <v/>
      </c>
      <c r="G14" s="77">
        <f>IF($A14="","",INDEX(Расценки!G:G,$A14))</f>
        <v/>
      </c>
      <c r="H14" s="79">
        <f>IF($A14="","",INDEX(Расценки!I:I,$A14))</f>
        <v/>
      </c>
    </row>
    <row r="15" ht="20" customHeight="1">
      <c r="A15">
        <f>IFERROR(AGGREGATE(15,6,ROW(Расценки!$F$7:$F$76)/(Расценки!$F$7:$F$76&gt;0),8),"")</f>
        <v/>
      </c>
      <c r="B15" s="80">
        <f>IF($A15="","",INDEX(Расценки!B:B,$A15))</f>
        <v/>
      </c>
      <c r="C15" s="81">
        <f>IF($A15="","",INDEX(Расценки!C:C,$A15))</f>
        <v/>
      </c>
      <c r="D15" s="82">
        <f>IF($A15="","",INDEX(Расценки!D:D,$A15))</f>
        <v/>
      </c>
      <c r="E15" s="83">
        <f>IF($A15="","",INDEX(Расценки!E:E,$A15))</f>
        <v/>
      </c>
      <c r="F15" s="84">
        <f>IF($A15="","",INDEX(Расценки!F:F,$A15))</f>
        <v/>
      </c>
      <c r="G15" s="83">
        <f>IF($A15="","",INDEX(Расценки!G:G,$A15))</f>
        <v/>
      </c>
      <c r="H15" s="85">
        <f>IF($A15="","",INDEX(Расценки!I:I,$A15))</f>
        <v/>
      </c>
    </row>
    <row r="16" ht="20" customHeight="1">
      <c r="A16">
        <f>IFERROR(AGGREGATE(15,6,ROW(Расценки!$F$7:$F$76)/(Расценки!$F$7:$F$76&gt;0),9),"")</f>
        <v/>
      </c>
      <c r="B16" s="74">
        <f>IF($A16="","",INDEX(Расценки!B:B,$A16))</f>
        <v/>
      </c>
      <c r="C16" s="75">
        <f>IF($A16="","",INDEX(Расценки!C:C,$A16))</f>
        <v/>
      </c>
      <c r="D16" s="76">
        <f>IF($A16="","",INDEX(Расценки!D:D,$A16))</f>
        <v/>
      </c>
      <c r="E16" s="77">
        <f>IF($A16="","",INDEX(Расценки!E:E,$A16))</f>
        <v/>
      </c>
      <c r="F16" s="78">
        <f>IF($A16="","",INDEX(Расценки!F:F,$A16))</f>
        <v/>
      </c>
      <c r="G16" s="77">
        <f>IF($A16="","",INDEX(Расценки!G:G,$A16))</f>
        <v/>
      </c>
      <c r="H16" s="79">
        <f>IF($A16="","",INDEX(Расценки!I:I,$A16))</f>
        <v/>
      </c>
    </row>
    <row r="17" ht="20" customHeight="1">
      <c r="A17">
        <f>IFERROR(AGGREGATE(15,6,ROW(Расценки!$F$7:$F$76)/(Расценки!$F$7:$F$76&gt;0),10),"")</f>
        <v/>
      </c>
      <c r="B17" s="80">
        <f>IF($A17="","",INDEX(Расценки!B:B,$A17))</f>
        <v/>
      </c>
      <c r="C17" s="81">
        <f>IF($A17="","",INDEX(Расценки!C:C,$A17))</f>
        <v/>
      </c>
      <c r="D17" s="82">
        <f>IF($A17="","",INDEX(Расценки!D:D,$A17))</f>
        <v/>
      </c>
      <c r="E17" s="83">
        <f>IF($A17="","",INDEX(Расценки!E:E,$A17))</f>
        <v/>
      </c>
      <c r="F17" s="84">
        <f>IF($A17="","",INDEX(Расценки!F:F,$A17))</f>
        <v/>
      </c>
      <c r="G17" s="83">
        <f>IF($A17="","",INDEX(Расценки!G:G,$A17))</f>
        <v/>
      </c>
      <c r="H17" s="85">
        <f>IF($A17="","",INDEX(Расценки!I:I,$A17))</f>
        <v/>
      </c>
    </row>
    <row r="18" ht="20" customHeight="1">
      <c r="A18">
        <f>IFERROR(AGGREGATE(15,6,ROW(Расценки!$F$7:$F$76)/(Расценки!$F$7:$F$76&gt;0),11),"")</f>
        <v/>
      </c>
      <c r="B18" s="74">
        <f>IF($A18="","",INDEX(Расценки!B:B,$A18))</f>
        <v/>
      </c>
      <c r="C18" s="75">
        <f>IF($A18="","",INDEX(Расценки!C:C,$A18))</f>
        <v/>
      </c>
      <c r="D18" s="76">
        <f>IF($A18="","",INDEX(Расценки!D:D,$A18))</f>
        <v/>
      </c>
      <c r="E18" s="77">
        <f>IF($A18="","",INDEX(Расценки!E:E,$A18))</f>
        <v/>
      </c>
      <c r="F18" s="78">
        <f>IF($A18="","",INDEX(Расценки!F:F,$A18))</f>
        <v/>
      </c>
      <c r="G18" s="77">
        <f>IF($A18="","",INDEX(Расценки!G:G,$A18))</f>
        <v/>
      </c>
      <c r="H18" s="79">
        <f>IF($A18="","",INDEX(Расценки!I:I,$A18))</f>
        <v/>
      </c>
    </row>
    <row r="19" ht="20" customHeight="1">
      <c r="A19">
        <f>IFERROR(AGGREGATE(15,6,ROW(Расценки!$F$7:$F$76)/(Расценки!$F$7:$F$76&gt;0),12),"")</f>
        <v/>
      </c>
      <c r="B19" s="80">
        <f>IF($A19="","",INDEX(Расценки!B:B,$A19))</f>
        <v/>
      </c>
      <c r="C19" s="81">
        <f>IF($A19="","",INDEX(Расценки!C:C,$A19))</f>
        <v/>
      </c>
      <c r="D19" s="82">
        <f>IF($A19="","",INDEX(Расценки!D:D,$A19))</f>
        <v/>
      </c>
      <c r="E19" s="83">
        <f>IF($A19="","",INDEX(Расценки!E:E,$A19))</f>
        <v/>
      </c>
      <c r="F19" s="84">
        <f>IF($A19="","",INDEX(Расценки!F:F,$A19))</f>
        <v/>
      </c>
      <c r="G19" s="83">
        <f>IF($A19="","",INDEX(Расценки!G:G,$A19))</f>
        <v/>
      </c>
      <c r="H19" s="85">
        <f>IF($A19="","",INDEX(Расценки!I:I,$A19))</f>
        <v/>
      </c>
    </row>
    <row r="20" ht="20" customHeight="1">
      <c r="A20">
        <f>IFERROR(AGGREGATE(15,6,ROW(Расценки!$F$7:$F$76)/(Расценки!$F$7:$F$76&gt;0),13),"")</f>
        <v/>
      </c>
      <c r="B20" s="74">
        <f>IF($A20="","",INDEX(Расценки!B:B,$A20))</f>
        <v/>
      </c>
      <c r="C20" s="75">
        <f>IF($A20="","",INDEX(Расценки!C:C,$A20))</f>
        <v/>
      </c>
      <c r="D20" s="76">
        <f>IF($A20="","",INDEX(Расценки!D:D,$A20))</f>
        <v/>
      </c>
      <c r="E20" s="77">
        <f>IF($A20="","",INDEX(Расценки!E:E,$A20))</f>
        <v/>
      </c>
      <c r="F20" s="78">
        <f>IF($A20="","",INDEX(Расценки!F:F,$A20))</f>
        <v/>
      </c>
      <c r="G20" s="77">
        <f>IF($A20="","",INDEX(Расценки!G:G,$A20))</f>
        <v/>
      </c>
      <c r="H20" s="79">
        <f>IF($A20="","",INDEX(Расценки!I:I,$A20))</f>
        <v/>
      </c>
    </row>
    <row r="21" ht="20" customHeight="1">
      <c r="A21">
        <f>IFERROR(AGGREGATE(15,6,ROW(Расценки!$F$7:$F$76)/(Расценки!$F$7:$F$76&gt;0),14),"")</f>
        <v/>
      </c>
      <c r="B21" s="80">
        <f>IF($A21="","",INDEX(Расценки!B:B,$A21))</f>
        <v/>
      </c>
      <c r="C21" s="81">
        <f>IF($A21="","",INDEX(Расценки!C:C,$A21))</f>
        <v/>
      </c>
      <c r="D21" s="82">
        <f>IF($A21="","",INDEX(Расценки!D:D,$A21))</f>
        <v/>
      </c>
      <c r="E21" s="83">
        <f>IF($A21="","",INDEX(Расценки!E:E,$A21))</f>
        <v/>
      </c>
      <c r="F21" s="84">
        <f>IF($A21="","",INDEX(Расценки!F:F,$A21))</f>
        <v/>
      </c>
      <c r="G21" s="83">
        <f>IF($A21="","",INDEX(Расценки!G:G,$A21))</f>
        <v/>
      </c>
      <c r="H21" s="85">
        <f>IF($A21="","",INDEX(Расценки!I:I,$A21))</f>
        <v/>
      </c>
    </row>
    <row r="22" ht="20" customHeight="1">
      <c r="A22">
        <f>IFERROR(AGGREGATE(15,6,ROW(Расценки!$F$7:$F$76)/(Расценки!$F$7:$F$76&gt;0),15),"")</f>
        <v/>
      </c>
      <c r="B22" s="74">
        <f>IF($A22="","",INDEX(Расценки!B:B,$A22))</f>
        <v/>
      </c>
      <c r="C22" s="75">
        <f>IF($A22="","",INDEX(Расценки!C:C,$A22))</f>
        <v/>
      </c>
      <c r="D22" s="76">
        <f>IF($A22="","",INDEX(Расценки!D:D,$A22))</f>
        <v/>
      </c>
      <c r="E22" s="77">
        <f>IF($A22="","",INDEX(Расценки!E:E,$A22))</f>
        <v/>
      </c>
      <c r="F22" s="78">
        <f>IF($A22="","",INDEX(Расценки!F:F,$A22))</f>
        <v/>
      </c>
      <c r="G22" s="77">
        <f>IF($A22="","",INDEX(Расценки!G:G,$A22))</f>
        <v/>
      </c>
      <c r="H22" s="79">
        <f>IF($A22="","",INDEX(Расценки!I:I,$A22))</f>
        <v/>
      </c>
    </row>
    <row r="23" ht="20" customHeight="1">
      <c r="A23">
        <f>IFERROR(AGGREGATE(15,6,ROW(Расценки!$F$7:$F$76)/(Расценки!$F$7:$F$76&gt;0),16),"")</f>
        <v/>
      </c>
      <c r="B23" s="80">
        <f>IF($A23="","",INDEX(Расценки!B:B,$A23))</f>
        <v/>
      </c>
      <c r="C23" s="81">
        <f>IF($A23="","",INDEX(Расценки!C:C,$A23))</f>
        <v/>
      </c>
      <c r="D23" s="82">
        <f>IF($A23="","",INDEX(Расценки!D:D,$A23))</f>
        <v/>
      </c>
      <c r="E23" s="83">
        <f>IF($A23="","",INDEX(Расценки!E:E,$A23))</f>
        <v/>
      </c>
      <c r="F23" s="84">
        <f>IF($A23="","",INDEX(Расценки!F:F,$A23))</f>
        <v/>
      </c>
      <c r="G23" s="83">
        <f>IF($A23="","",INDEX(Расценки!G:G,$A23))</f>
        <v/>
      </c>
      <c r="H23" s="85">
        <f>IF($A23="","",INDEX(Расценки!I:I,$A23))</f>
        <v/>
      </c>
    </row>
    <row r="24" ht="20" customHeight="1">
      <c r="A24">
        <f>IFERROR(AGGREGATE(15,6,ROW(Расценки!$F$7:$F$76)/(Расценки!$F$7:$F$76&gt;0),17),"")</f>
        <v/>
      </c>
      <c r="B24" s="74">
        <f>IF($A24="","",INDEX(Расценки!B:B,$A24))</f>
        <v/>
      </c>
      <c r="C24" s="75">
        <f>IF($A24="","",INDEX(Расценки!C:C,$A24))</f>
        <v/>
      </c>
      <c r="D24" s="76">
        <f>IF($A24="","",INDEX(Расценки!D:D,$A24))</f>
        <v/>
      </c>
      <c r="E24" s="77">
        <f>IF($A24="","",INDEX(Расценки!E:E,$A24))</f>
        <v/>
      </c>
      <c r="F24" s="78">
        <f>IF($A24="","",INDEX(Расценки!F:F,$A24))</f>
        <v/>
      </c>
      <c r="G24" s="77">
        <f>IF($A24="","",INDEX(Расценки!G:G,$A24))</f>
        <v/>
      </c>
      <c r="H24" s="79">
        <f>IF($A24="","",INDEX(Расценки!I:I,$A24))</f>
        <v/>
      </c>
    </row>
    <row r="25" ht="20" customHeight="1">
      <c r="A25">
        <f>IFERROR(AGGREGATE(15,6,ROW(Расценки!$F$7:$F$76)/(Расценки!$F$7:$F$76&gt;0),18),"")</f>
        <v/>
      </c>
      <c r="B25" s="80">
        <f>IF($A25="","",INDEX(Расценки!B:B,$A25))</f>
        <v/>
      </c>
      <c r="C25" s="81">
        <f>IF($A25="","",INDEX(Расценки!C:C,$A25))</f>
        <v/>
      </c>
      <c r="D25" s="82">
        <f>IF($A25="","",INDEX(Расценки!D:D,$A25))</f>
        <v/>
      </c>
      <c r="E25" s="83">
        <f>IF($A25="","",INDEX(Расценки!E:E,$A25))</f>
        <v/>
      </c>
      <c r="F25" s="84">
        <f>IF($A25="","",INDEX(Расценки!F:F,$A25))</f>
        <v/>
      </c>
      <c r="G25" s="83">
        <f>IF($A25="","",INDEX(Расценки!G:G,$A25))</f>
        <v/>
      </c>
      <c r="H25" s="85">
        <f>IF($A25="","",INDEX(Расценки!I:I,$A25))</f>
        <v/>
      </c>
    </row>
    <row r="26" ht="20" customHeight="1">
      <c r="A26">
        <f>IFERROR(AGGREGATE(15,6,ROW(Расценки!$F$7:$F$76)/(Расценки!$F$7:$F$76&gt;0),19),"")</f>
        <v/>
      </c>
      <c r="B26" s="74">
        <f>IF($A26="","",INDEX(Расценки!B:B,$A26))</f>
        <v/>
      </c>
      <c r="C26" s="75">
        <f>IF($A26="","",INDEX(Расценки!C:C,$A26))</f>
        <v/>
      </c>
      <c r="D26" s="76">
        <f>IF($A26="","",INDEX(Расценки!D:D,$A26))</f>
        <v/>
      </c>
      <c r="E26" s="77">
        <f>IF($A26="","",INDEX(Расценки!E:E,$A26))</f>
        <v/>
      </c>
      <c r="F26" s="78">
        <f>IF($A26="","",INDEX(Расценки!F:F,$A26))</f>
        <v/>
      </c>
      <c r="G26" s="77">
        <f>IF($A26="","",INDEX(Расценки!G:G,$A26))</f>
        <v/>
      </c>
      <c r="H26" s="79">
        <f>IF($A26="","",INDEX(Расценки!I:I,$A26))</f>
        <v/>
      </c>
    </row>
    <row r="27" ht="20" customHeight="1">
      <c r="A27">
        <f>IFERROR(AGGREGATE(15,6,ROW(Расценки!$F$7:$F$76)/(Расценки!$F$7:$F$76&gt;0),20),"")</f>
        <v/>
      </c>
      <c r="B27" s="80">
        <f>IF($A27="","",INDEX(Расценки!B:B,$A27))</f>
        <v/>
      </c>
      <c r="C27" s="81">
        <f>IF($A27="","",INDEX(Расценки!C:C,$A27))</f>
        <v/>
      </c>
      <c r="D27" s="82">
        <f>IF($A27="","",INDEX(Расценки!D:D,$A27))</f>
        <v/>
      </c>
      <c r="E27" s="83">
        <f>IF($A27="","",INDEX(Расценки!E:E,$A27))</f>
        <v/>
      </c>
      <c r="F27" s="84">
        <f>IF($A27="","",INDEX(Расценки!F:F,$A27))</f>
        <v/>
      </c>
      <c r="G27" s="83">
        <f>IF($A27="","",INDEX(Расценки!G:G,$A27))</f>
        <v/>
      </c>
      <c r="H27" s="85">
        <f>IF($A27="","",INDEX(Расценки!I:I,$A27))</f>
        <v/>
      </c>
    </row>
    <row r="28" ht="20" customHeight="1">
      <c r="A28">
        <f>IFERROR(AGGREGATE(15,6,ROW(Расценки!$F$7:$F$76)/(Расценки!$F$7:$F$76&gt;0),21),"")</f>
        <v/>
      </c>
      <c r="B28" s="74">
        <f>IF($A28="","",INDEX(Расценки!B:B,$A28))</f>
        <v/>
      </c>
      <c r="C28" s="75">
        <f>IF($A28="","",INDEX(Расценки!C:C,$A28))</f>
        <v/>
      </c>
      <c r="D28" s="76">
        <f>IF($A28="","",INDEX(Расценки!D:D,$A28))</f>
        <v/>
      </c>
      <c r="E28" s="77">
        <f>IF($A28="","",INDEX(Расценки!E:E,$A28))</f>
        <v/>
      </c>
      <c r="F28" s="78">
        <f>IF($A28="","",INDEX(Расценки!F:F,$A28))</f>
        <v/>
      </c>
      <c r="G28" s="77">
        <f>IF($A28="","",INDEX(Расценки!G:G,$A28))</f>
        <v/>
      </c>
      <c r="H28" s="79">
        <f>IF($A28="","",INDEX(Расценки!I:I,$A28))</f>
        <v/>
      </c>
    </row>
    <row r="29" ht="20" customHeight="1">
      <c r="A29">
        <f>IFERROR(AGGREGATE(15,6,ROW(Расценки!$F$7:$F$76)/(Расценки!$F$7:$F$76&gt;0),22),"")</f>
        <v/>
      </c>
      <c r="B29" s="80">
        <f>IF($A29="","",INDEX(Расценки!B:B,$A29))</f>
        <v/>
      </c>
      <c r="C29" s="81">
        <f>IF($A29="","",INDEX(Расценки!C:C,$A29))</f>
        <v/>
      </c>
      <c r="D29" s="82">
        <f>IF($A29="","",INDEX(Расценки!D:D,$A29))</f>
        <v/>
      </c>
      <c r="E29" s="83">
        <f>IF($A29="","",INDEX(Расценки!E:E,$A29))</f>
        <v/>
      </c>
      <c r="F29" s="84">
        <f>IF($A29="","",INDEX(Расценки!F:F,$A29))</f>
        <v/>
      </c>
      <c r="G29" s="83">
        <f>IF($A29="","",INDEX(Расценки!G:G,$A29))</f>
        <v/>
      </c>
      <c r="H29" s="85">
        <f>IF($A29="","",INDEX(Расценки!I:I,$A29))</f>
        <v/>
      </c>
    </row>
    <row r="30" ht="20" customHeight="1">
      <c r="A30">
        <f>IFERROR(AGGREGATE(15,6,ROW(Расценки!$F$7:$F$76)/(Расценки!$F$7:$F$76&gt;0),23),"")</f>
        <v/>
      </c>
      <c r="B30" s="74">
        <f>IF($A30="","",INDEX(Расценки!B:B,$A30))</f>
        <v/>
      </c>
      <c r="C30" s="75">
        <f>IF($A30="","",INDEX(Расценки!C:C,$A30))</f>
        <v/>
      </c>
      <c r="D30" s="76">
        <f>IF($A30="","",INDEX(Расценки!D:D,$A30))</f>
        <v/>
      </c>
      <c r="E30" s="77">
        <f>IF($A30="","",INDEX(Расценки!E:E,$A30))</f>
        <v/>
      </c>
      <c r="F30" s="78">
        <f>IF($A30="","",INDEX(Расценки!F:F,$A30))</f>
        <v/>
      </c>
      <c r="G30" s="77">
        <f>IF($A30="","",INDEX(Расценки!G:G,$A30))</f>
        <v/>
      </c>
      <c r="H30" s="79">
        <f>IF($A30="","",INDEX(Расценки!I:I,$A30))</f>
        <v/>
      </c>
    </row>
    <row r="31" ht="20" customHeight="1">
      <c r="A31">
        <f>IFERROR(AGGREGATE(15,6,ROW(Расценки!$F$7:$F$76)/(Расценки!$F$7:$F$76&gt;0),24),"")</f>
        <v/>
      </c>
      <c r="B31" s="80">
        <f>IF($A31="","",INDEX(Расценки!B:B,$A31))</f>
        <v/>
      </c>
      <c r="C31" s="81">
        <f>IF($A31="","",INDEX(Расценки!C:C,$A31))</f>
        <v/>
      </c>
      <c r="D31" s="82">
        <f>IF($A31="","",INDEX(Расценки!D:D,$A31))</f>
        <v/>
      </c>
      <c r="E31" s="83">
        <f>IF($A31="","",INDEX(Расценки!E:E,$A31))</f>
        <v/>
      </c>
      <c r="F31" s="84">
        <f>IF($A31="","",INDEX(Расценки!F:F,$A31))</f>
        <v/>
      </c>
      <c r="G31" s="83">
        <f>IF($A31="","",INDEX(Расценки!G:G,$A31))</f>
        <v/>
      </c>
      <c r="H31" s="85">
        <f>IF($A31="","",INDEX(Расценки!I:I,$A31))</f>
        <v/>
      </c>
    </row>
    <row r="32" ht="20" customHeight="1">
      <c r="A32">
        <f>IFERROR(AGGREGATE(15,6,ROW(Расценки!$F$7:$F$76)/(Расценки!$F$7:$F$76&gt;0),25),"")</f>
        <v/>
      </c>
      <c r="B32" s="74">
        <f>IF($A32="","",INDEX(Расценки!B:B,$A32))</f>
        <v/>
      </c>
      <c r="C32" s="75">
        <f>IF($A32="","",INDEX(Расценки!C:C,$A32))</f>
        <v/>
      </c>
      <c r="D32" s="76">
        <f>IF($A32="","",INDEX(Расценки!D:D,$A32))</f>
        <v/>
      </c>
      <c r="E32" s="77">
        <f>IF($A32="","",INDEX(Расценки!E:E,$A32))</f>
        <v/>
      </c>
      <c r="F32" s="78">
        <f>IF($A32="","",INDEX(Расценки!F:F,$A32))</f>
        <v/>
      </c>
      <c r="G32" s="77">
        <f>IF($A32="","",INDEX(Расценки!G:G,$A32))</f>
        <v/>
      </c>
      <c r="H32" s="79">
        <f>IF($A32="","",INDEX(Расценки!I:I,$A32))</f>
        <v/>
      </c>
    </row>
    <row r="33" ht="20" customHeight="1">
      <c r="A33">
        <f>IFERROR(AGGREGATE(15,6,ROW(Расценки!$F$7:$F$76)/(Расценки!$F$7:$F$76&gt;0),26),"")</f>
        <v/>
      </c>
      <c r="B33" s="80">
        <f>IF($A33="","",INDEX(Расценки!B:B,$A33))</f>
        <v/>
      </c>
      <c r="C33" s="81">
        <f>IF($A33="","",INDEX(Расценки!C:C,$A33))</f>
        <v/>
      </c>
      <c r="D33" s="82">
        <f>IF($A33="","",INDEX(Расценки!D:D,$A33))</f>
        <v/>
      </c>
      <c r="E33" s="83">
        <f>IF($A33="","",INDEX(Расценки!E:E,$A33))</f>
        <v/>
      </c>
      <c r="F33" s="84">
        <f>IF($A33="","",INDEX(Расценки!F:F,$A33))</f>
        <v/>
      </c>
      <c r="G33" s="83">
        <f>IF($A33="","",INDEX(Расценки!G:G,$A33))</f>
        <v/>
      </c>
      <c r="H33" s="85">
        <f>IF($A33="","",INDEX(Расценки!I:I,$A33))</f>
        <v/>
      </c>
    </row>
    <row r="34" ht="20" customHeight="1">
      <c r="A34">
        <f>IFERROR(AGGREGATE(15,6,ROW(Расценки!$F$7:$F$76)/(Расценки!$F$7:$F$76&gt;0),27),"")</f>
        <v/>
      </c>
      <c r="B34" s="74">
        <f>IF($A34="","",INDEX(Расценки!B:B,$A34))</f>
        <v/>
      </c>
      <c r="C34" s="75">
        <f>IF($A34="","",INDEX(Расценки!C:C,$A34))</f>
        <v/>
      </c>
      <c r="D34" s="76">
        <f>IF($A34="","",INDEX(Расценки!D:D,$A34))</f>
        <v/>
      </c>
      <c r="E34" s="77">
        <f>IF($A34="","",INDEX(Расценки!E:E,$A34))</f>
        <v/>
      </c>
      <c r="F34" s="78">
        <f>IF($A34="","",INDEX(Расценки!F:F,$A34))</f>
        <v/>
      </c>
      <c r="G34" s="77">
        <f>IF($A34="","",INDEX(Расценки!G:G,$A34))</f>
        <v/>
      </c>
      <c r="H34" s="79">
        <f>IF($A34="","",INDEX(Расценки!I:I,$A34))</f>
        <v/>
      </c>
    </row>
    <row r="35" ht="20" customHeight="1">
      <c r="A35">
        <f>IFERROR(AGGREGATE(15,6,ROW(Расценки!$F$7:$F$76)/(Расценки!$F$7:$F$76&gt;0),28),"")</f>
        <v/>
      </c>
      <c r="B35" s="80">
        <f>IF($A35="","",INDEX(Расценки!B:B,$A35))</f>
        <v/>
      </c>
      <c r="C35" s="81">
        <f>IF($A35="","",INDEX(Расценки!C:C,$A35))</f>
        <v/>
      </c>
      <c r="D35" s="82">
        <f>IF($A35="","",INDEX(Расценки!D:D,$A35))</f>
        <v/>
      </c>
      <c r="E35" s="83">
        <f>IF($A35="","",INDEX(Расценки!E:E,$A35))</f>
        <v/>
      </c>
      <c r="F35" s="84">
        <f>IF($A35="","",INDEX(Расценки!F:F,$A35))</f>
        <v/>
      </c>
      <c r="G35" s="83">
        <f>IF($A35="","",INDEX(Расценки!G:G,$A35))</f>
        <v/>
      </c>
      <c r="H35" s="85">
        <f>IF($A35="","",INDEX(Расценки!I:I,$A35))</f>
        <v/>
      </c>
    </row>
    <row r="36" ht="20" customHeight="1">
      <c r="A36">
        <f>IFERROR(AGGREGATE(15,6,ROW(Расценки!$F$7:$F$76)/(Расценки!$F$7:$F$76&gt;0),29),"")</f>
        <v/>
      </c>
      <c r="B36" s="74">
        <f>IF($A36="","",INDEX(Расценки!B:B,$A36))</f>
        <v/>
      </c>
      <c r="C36" s="75">
        <f>IF($A36="","",INDEX(Расценки!C:C,$A36))</f>
        <v/>
      </c>
      <c r="D36" s="76">
        <f>IF($A36="","",INDEX(Расценки!D:D,$A36))</f>
        <v/>
      </c>
      <c r="E36" s="77">
        <f>IF($A36="","",INDEX(Расценки!E:E,$A36))</f>
        <v/>
      </c>
      <c r="F36" s="78">
        <f>IF($A36="","",INDEX(Расценки!F:F,$A36))</f>
        <v/>
      </c>
      <c r="G36" s="77">
        <f>IF($A36="","",INDEX(Расценки!G:G,$A36))</f>
        <v/>
      </c>
      <c r="H36" s="79">
        <f>IF($A36="","",INDEX(Расценки!I:I,$A36))</f>
        <v/>
      </c>
    </row>
    <row r="37" ht="20" customHeight="1">
      <c r="A37">
        <f>IFERROR(AGGREGATE(15,6,ROW(Расценки!$F$7:$F$76)/(Расценки!$F$7:$F$76&gt;0),30),"")</f>
        <v/>
      </c>
      <c r="B37" s="80">
        <f>IF($A37="","",INDEX(Расценки!B:B,$A37))</f>
        <v/>
      </c>
      <c r="C37" s="81">
        <f>IF($A37="","",INDEX(Расценки!C:C,$A37))</f>
        <v/>
      </c>
      <c r="D37" s="82">
        <f>IF($A37="","",INDEX(Расценки!D:D,$A37))</f>
        <v/>
      </c>
      <c r="E37" s="83">
        <f>IF($A37="","",INDEX(Расценки!E:E,$A37))</f>
        <v/>
      </c>
      <c r="F37" s="84">
        <f>IF($A37="","",INDEX(Расценки!F:F,$A37))</f>
        <v/>
      </c>
      <c r="G37" s="83">
        <f>IF($A37="","",INDEX(Расценки!G:G,$A37))</f>
        <v/>
      </c>
      <c r="H37" s="85">
        <f>IF($A37="","",INDEX(Расценки!I:I,$A37))</f>
        <v/>
      </c>
    </row>
    <row r="38" ht="20" customHeight="1">
      <c r="A38">
        <f>IFERROR(AGGREGATE(15,6,ROW(Расценки!$F$7:$F$76)/(Расценки!$F$7:$F$76&gt;0),31),"")</f>
        <v/>
      </c>
      <c r="B38" s="74">
        <f>IF($A38="","",INDEX(Расценки!B:B,$A38))</f>
        <v/>
      </c>
      <c r="C38" s="75">
        <f>IF($A38="","",INDEX(Расценки!C:C,$A38))</f>
        <v/>
      </c>
      <c r="D38" s="76">
        <f>IF($A38="","",INDEX(Расценки!D:D,$A38))</f>
        <v/>
      </c>
      <c r="E38" s="77">
        <f>IF($A38="","",INDEX(Расценки!E:E,$A38))</f>
        <v/>
      </c>
      <c r="F38" s="78">
        <f>IF($A38="","",INDEX(Расценки!F:F,$A38))</f>
        <v/>
      </c>
      <c r="G38" s="77">
        <f>IF($A38="","",INDEX(Расценки!G:G,$A38))</f>
        <v/>
      </c>
      <c r="H38" s="79">
        <f>IF($A38="","",INDEX(Расценки!I:I,$A38))</f>
        <v/>
      </c>
    </row>
    <row r="39" ht="20" customHeight="1">
      <c r="A39">
        <f>IFERROR(AGGREGATE(15,6,ROW(Расценки!$F$7:$F$76)/(Расценки!$F$7:$F$76&gt;0),32),"")</f>
        <v/>
      </c>
      <c r="B39" s="80">
        <f>IF($A39="","",INDEX(Расценки!B:B,$A39))</f>
        <v/>
      </c>
      <c r="C39" s="81">
        <f>IF($A39="","",INDEX(Расценки!C:C,$A39))</f>
        <v/>
      </c>
      <c r="D39" s="82">
        <f>IF($A39="","",INDEX(Расценки!D:D,$A39))</f>
        <v/>
      </c>
      <c r="E39" s="83">
        <f>IF($A39="","",INDEX(Расценки!E:E,$A39))</f>
        <v/>
      </c>
      <c r="F39" s="84">
        <f>IF($A39="","",INDEX(Расценки!F:F,$A39))</f>
        <v/>
      </c>
      <c r="G39" s="83">
        <f>IF($A39="","",INDEX(Расценки!G:G,$A39))</f>
        <v/>
      </c>
      <c r="H39" s="85">
        <f>IF($A39="","",INDEX(Расценки!I:I,$A39))</f>
        <v/>
      </c>
    </row>
    <row r="40" ht="20" customHeight="1">
      <c r="A40">
        <f>IFERROR(AGGREGATE(15,6,ROW(Расценки!$F$7:$F$76)/(Расценки!$F$7:$F$76&gt;0),33),"")</f>
        <v/>
      </c>
      <c r="B40" s="74">
        <f>IF($A40="","",INDEX(Расценки!B:B,$A40))</f>
        <v/>
      </c>
      <c r="C40" s="75">
        <f>IF($A40="","",INDEX(Расценки!C:C,$A40))</f>
        <v/>
      </c>
      <c r="D40" s="76">
        <f>IF($A40="","",INDEX(Расценки!D:D,$A40))</f>
        <v/>
      </c>
      <c r="E40" s="77">
        <f>IF($A40="","",INDEX(Расценки!E:E,$A40))</f>
        <v/>
      </c>
      <c r="F40" s="78">
        <f>IF($A40="","",INDEX(Расценки!F:F,$A40))</f>
        <v/>
      </c>
      <c r="G40" s="77">
        <f>IF($A40="","",INDEX(Расценки!G:G,$A40))</f>
        <v/>
      </c>
      <c r="H40" s="79">
        <f>IF($A40="","",INDEX(Расценки!I:I,$A40))</f>
        <v/>
      </c>
    </row>
    <row r="41" ht="20" customHeight="1">
      <c r="A41">
        <f>IFERROR(AGGREGATE(15,6,ROW(Расценки!$F$7:$F$76)/(Расценки!$F$7:$F$76&gt;0),34),"")</f>
        <v/>
      </c>
      <c r="B41" s="80">
        <f>IF($A41="","",INDEX(Расценки!B:B,$A41))</f>
        <v/>
      </c>
      <c r="C41" s="81">
        <f>IF($A41="","",INDEX(Расценки!C:C,$A41))</f>
        <v/>
      </c>
      <c r="D41" s="82">
        <f>IF($A41="","",INDEX(Расценки!D:D,$A41))</f>
        <v/>
      </c>
      <c r="E41" s="83">
        <f>IF($A41="","",INDEX(Расценки!E:E,$A41))</f>
        <v/>
      </c>
      <c r="F41" s="84">
        <f>IF($A41="","",INDEX(Расценки!F:F,$A41))</f>
        <v/>
      </c>
      <c r="G41" s="83">
        <f>IF($A41="","",INDEX(Расценки!G:G,$A41))</f>
        <v/>
      </c>
      <c r="H41" s="85">
        <f>IF($A41="","",INDEX(Расценки!I:I,$A41))</f>
        <v/>
      </c>
    </row>
    <row r="42" ht="20" customHeight="1">
      <c r="A42">
        <f>IFERROR(AGGREGATE(15,6,ROW(Расценки!$F$7:$F$76)/(Расценки!$F$7:$F$76&gt;0),35),"")</f>
        <v/>
      </c>
      <c r="B42" s="74">
        <f>IF($A42="","",INDEX(Расценки!B:B,$A42))</f>
        <v/>
      </c>
      <c r="C42" s="75">
        <f>IF($A42="","",INDEX(Расценки!C:C,$A42))</f>
        <v/>
      </c>
      <c r="D42" s="76">
        <f>IF($A42="","",INDEX(Расценки!D:D,$A42))</f>
        <v/>
      </c>
      <c r="E42" s="77">
        <f>IF($A42="","",INDEX(Расценки!E:E,$A42))</f>
        <v/>
      </c>
      <c r="F42" s="78">
        <f>IF($A42="","",INDEX(Расценки!F:F,$A42))</f>
        <v/>
      </c>
      <c r="G42" s="77">
        <f>IF($A42="","",INDEX(Расценки!G:G,$A42))</f>
        <v/>
      </c>
      <c r="H42" s="79">
        <f>IF($A42="","",INDEX(Расценки!I:I,$A42))</f>
        <v/>
      </c>
    </row>
    <row r="43" ht="20" customHeight="1">
      <c r="A43">
        <f>IFERROR(AGGREGATE(15,6,ROW(Расценки!$F$7:$F$76)/(Расценки!$F$7:$F$76&gt;0),36),"")</f>
        <v/>
      </c>
      <c r="B43" s="80">
        <f>IF($A43="","",INDEX(Расценки!B:B,$A43))</f>
        <v/>
      </c>
      <c r="C43" s="81">
        <f>IF($A43="","",INDEX(Расценки!C:C,$A43))</f>
        <v/>
      </c>
      <c r="D43" s="82">
        <f>IF($A43="","",INDEX(Расценки!D:D,$A43))</f>
        <v/>
      </c>
      <c r="E43" s="83">
        <f>IF($A43="","",INDEX(Расценки!E:E,$A43))</f>
        <v/>
      </c>
      <c r="F43" s="84">
        <f>IF($A43="","",INDEX(Расценки!F:F,$A43))</f>
        <v/>
      </c>
      <c r="G43" s="83">
        <f>IF($A43="","",INDEX(Расценки!G:G,$A43))</f>
        <v/>
      </c>
      <c r="H43" s="85">
        <f>IF($A43="","",INDEX(Расценки!I:I,$A43))</f>
        <v/>
      </c>
    </row>
    <row r="44" ht="20" customHeight="1">
      <c r="A44">
        <f>IFERROR(AGGREGATE(15,6,ROW(Расценки!$F$7:$F$76)/(Расценки!$F$7:$F$76&gt;0),37),"")</f>
        <v/>
      </c>
      <c r="B44" s="74">
        <f>IF($A44="","",INDEX(Расценки!B:B,$A44))</f>
        <v/>
      </c>
      <c r="C44" s="75">
        <f>IF($A44="","",INDEX(Расценки!C:C,$A44))</f>
        <v/>
      </c>
      <c r="D44" s="76">
        <f>IF($A44="","",INDEX(Расценки!D:D,$A44))</f>
        <v/>
      </c>
      <c r="E44" s="77">
        <f>IF($A44="","",INDEX(Расценки!E:E,$A44))</f>
        <v/>
      </c>
      <c r="F44" s="78">
        <f>IF($A44="","",INDEX(Расценки!F:F,$A44))</f>
        <v/>
      </c>
      <c r="G44" s="77">
        <f>IF($A44="","",INDEX(Расценки!G:G,$A44))</f>
        <v/>
      </c>
      <c r="H44" s="79">
        <f>IF($A44="","",INDEX(Расценки!I:I,$A44))</f>
        <v/>
      </c>
    </row>
    <row r="45" ht="20" customHeight="1">
      <c r="A45">
        <f>IFERROR(AGGREGATE(15,6,ROW(Расценки!$F$7:$F$76)/(Расценки!$F$7:$F$76&gt;0),38),"")</f>
        <v/>
      </c>
      <c r="B45" s="80">
        <f>IF($A45="","",INDEX(Расценки!B:B,$A45))</f>
        <v/>
      </c>
      <c r="C45" s="81">
        <f>IF($A45="","",INDEX(Расценки!C:C,$A45))</f>
        <v/>
      </c>
      <c r="D45" s="82">
        <f>IF($A45="","",INDEX(Расценки!D:D,$A45))</f>
        <v/>
      </c>
      <c r="E45" s="83">
        <f>IF($A45="","",INDEX(Расценки!E:E,$A45))</f>
        <v/>
      </c>
      <c r="F45" s="84">
        <f>IF($A45="","",INDEX(Расценки!F:F,$A45))</f>
        <v/>
      </c>
      <c r="G45" s="83">
        <f>IF($A45="","",INDEX(Расценки!G:G,$A45))</f>
        <v/>
      </c>
      <c r="H45" s="85">
        <f>IF($A45="","",INDEX(Расценки!I:I,$A45))</f>
        <v/>
      </c>
    </row>
    <row r="46" ht="20" customHeight="1">
      <c r="A46">
        <f>IFERROR(AGGREGATE(15,6,ROW(Расценки!$F$7:$F$76)/(Расценки!$F$7:$F$76&gt;0),39),"")</f>
        <v/>
      </c>
      <c r="B46" s="74">
        <f>IF($A46="","",INDEX(Расценки!B:B,$A46))</f>
        <v/>
      </c>
      <c r="C46" s="75">
        <f>IF($A46="","",INDEX(Расценки!C:C,$A46))</f>
        <v/>
      </c>
      <c r="D46" s="76">
        <f>IF($A46="","",INDEX(Расценки!D:D,$A46))</f>
        <v/>
      </c>
      <c r="E46" s="77">
        <f>IF($A46="","",INDEX(Расценки!E:E,$A46))</f>
        <v/>
      </c>
      <c r="F46" s="78">
        <f>IF($A46="","",INDEX(Расценки!F:F,$A46))</f>
        <v/>
      </c>
      <c r="G46" s="77">
        <f>IF($A46="","",INDEX(Расценки!G:G,$A46))</f>
        <v/>
      </c>
      <c r="H46" s="79">
        <f>IF($A46="","",INDEX(Расценки!I:I,$A46))</f>
        <v/>
      </c>
    </row>
    <row r="47" ht="20" customHeight="1">
      <c r="A47">
        <f>IFERROR(AGGREGATE(15,6,ROW(Расценки!$F$7:$F$76)/(Расценки!$F$7:$F$76&gt;0),40),"")</f>
        <v/>
      </c>
      <c r="B47" s="80">
        <f>IF($A47="","",INDEX(Расценки!B:B,$A47))</f>
        <v/>
      </c>
      <c r="C47" s="81">
        <f>IF($A47="","",INDEX(Расценки!C:C,$A47))</f>
        <v/>
      </c>
      <c r="D47" s="82">
        <f>IF($A47="","",INDEX(Расценки!D:D,$A47))</f>
        <v/>
      </c>
      <c r="E47" s="83">
        <f>IF($A47="","",INDEX(Расценки!E:E,$A47))</f>
        <v/>
      </c>
      <c r="F47" s="84">
        <f>IF($A47="","",INDEX(Расценки!F:F,$A47))</f>
        <v/>
      </c>
      <c r="G47" s="83">
        <f>IF($A47="","",INDEX(Расценки!G:G,$A47))</f>
        <v/>
      </c>
      <c r="H47" s="85">
        <f>IF($A47="","",INDEX(Расценки!I:I,$A47))</f>
        <v/>
      </c>
    </row>
    <row r="48" ht="20" customHeight="1">
      <c r="A48">
        <f>IFERROR(AGGREGATE(15,6,ROW(Расценки!$F$7:$F$76)/(Расценки!$F$7:$F$76&gt;0),41),"")</f>
        <v/>
      </c>
      <c r="B48" s="74">
        <f>IF($A48="","",INDEX(Расценки!B:B,$A48))</f>
        <v/>
      </c>
      <c r="C48" s="75">
        <f>IF($A48="","",INDEX(Расценки!C:C,$A48))</f>
        <v/>
      </c>
      <c r="D48" s="76">
        <f>IF($A48="","",INDEX(Расценки!D:D,$A48))</f>
        <v/>
      </c>
      <c r="E48" s="77">
        <f>IF($A48="","",INDEX(Расценки!E:E,$A48))</f>
        <v/>
      </c>
      <c r="F48" s="78">
        <f>IF($A48="","",INDEX(Расценки!F:F,$A48))</f>
        <v/>
      </c>
      <c r="G48" s="77">
        <f>IF($A48="","",INDEX(Расценки!G:G,$A48))</f>
        <v/>
      </c>
      <c r="H48" s="79">
        <f>IF($A48="","",INDEX(Расценки!I:I,$A48))</f>
        <v/>
      </c>
    </row>
    <row r="49" ht="20" customHeight="1">
      <c r="A49">
        <f>IFERROR(AGGREGATE(15,6,ROW(Расценки!$F$7:$F$76)/(Расценки!$F$7:$F$76&gt;0),42),"")</f>
        <v/>
      </c>
      <c r="B49" s="80">
        <f>IF($A49="","",INDEX(Расценки!B:B,$A49))</f>
        <v/>
      </c>
      <c r="C49" s="81">
        <f>IF($A49="","",INDEX(Расценки!C:C,$A49))</f>
        <v/>
      </c>
      <c r="D49" s="82">
        <f>IF($A49="","",INDEX(Расценки!D:D,$A49))</f>
        <v/>
      </c>
      <c r="E49" s="83">
        <f>IF($A49="","",INDEX(Расценки!E:E,$A49))</f>
        <v/>
      </c>
      <c r="F49" s="84">
        <f>IF($A49="","",INDEX(Расценки!F:F,$A49))</f>
        <v/>
      </c>
      <c r="G49" s="83">
        <f>IF($A49="","",INDEX(Расценки!G:G,$A49))</f>
        <v/>
      </c>
      <c r="H49" s="85">
        <f>IF($A49="","",INDEX(Расценки!I:I,$A49))</f>
        <v/>
      </c>
    </row>
    <row r="50" ht="20" customHeight="1">
      <c r="A50">
        <f>IFERROR(AGGREGATE(15,6,ROW(Расценки!$F$7:$F$76)/(Расценки!$F$7:$F$76&gt;0),43),"")</f>
        <v/>
      </c>
      <c r="B50" s="74">
        <f>IF($A50="","",INDEX(Расценки!B:B,$A50))</f>
        <v/>
      </c>
      <c r="C50" s="75">
        <f>IF($A50="","",INDEX(Расценки!C:C,$A50))</f>
        <v/>
      </c>
      <c r="D50" s="76">
        <f>IF($A50="","",INDEX(Расценки!D:D,$A50))</f>
        <v/>
      </c>
      <c r="E50" s="77">
        <f>IF($A50="","",INDEX(Расценки!E:E,$A50))</f>
        <v/>
      </c>
      <c r="F50" s="78">
        <f>IF($A50="","",INDEX(Расценки!F:F,$A50))</f>
        <v/>
      </c>
      <c r="G50" s="77">
        <f>IF($A50="","",INDEX(Расценки!G:G,$A50))</f>
        <v/>
      </c>
      <c r="H50" s="79">
        <f>IF($A50="","",INDEX(Расценки!I:I,$A50))</f>
        <v/>
      </c>
    </row>
    <row r="51" ht="20" customHeight="1">
      <c r="A51">
        <f>IFERROR(AGGREGATE(15,6,ROW(Расценки!$F$7:$F$76)/(Расценки!$F$7:$F$76&gt;0),44),"")</f>
        <v/>
      </c>
      <c r="B51" s="80">
        <f>IF($A51="","",INDEX(Расценки!B:B,$A51))</f>
        <v/>
      </c>
      <c r="C51" s="81">
        <f>IF($A51="","",INDEX(Расценки!C:C,$A51))</f>
        <v/>
      </c>
      <c r="D51" s="82">
        <f>IF($A51="","",INDEX(Расценки!D:D,$A51))</f>
        <v/>
      </c>
      <c r="E51" s="83">
        <f>IF($A51="","",INDEX(Расценки!E:E,$A51))</f>
        <v/>
      </c>
      <c r="F51" s="84">
        <f>IF($A51="","",INDEX(Расценки!F:F,$A51))</f>
        <v/>
      </c>
      <c r="G51" s="83">
        <f>IF($A51="","",INDEX(Расценки!G:G,$A51))</f>
        <v/>
      </c>
      <c r="H51" s="85">
        <f>IF($A51="","",INDEX(Расценки!I:I,$A51))</f>
        <v/>
      </c>
    </row>
    <row r="52" ht="20" customHeight="1">
      <c r="A52">
        <f>IFERROR(AGGREGATE(15,6,ROW(Расценки!$F$7:$F$76)/(Расценки!$F$7:$F$76&gt;0),45),"")</f>
        <v/>
      </c>
      <c r="B52" s="74">
        <f>IF($A52="","",INDEX(Расценки!B:B,$A52))</f>
        <v/>
      </c>
      <c r="C52" s="75">
        <f>IF($A52="","",INDEX(Расценки!C:C,$A52))</f>
        <v/>
      </c>
      <c r="D52" s="76">
        <f>IF($A52="","",INDEX(Расценки!D:D,$A52))</f>
        <v/>
      </c>
      <c r="E52" s="77">
        <f>IF($A52="","",INDEX(Расценки!E:E,$A52))</f>
        <v/>
      </c>
      <c r="F52" s="78">
        <f>IF($A52="","",INDEX(Расценки!F:F,$A52))</f>
        <v/>
      </c>
      <c r="G52" s="77">
        <f>IF($A52="","",INDEX(Расценки!G:G,$A52))</f>
        <v/>
      </c>
      <c r="H52" s="79">
        <f>IF($A52="","",INDEX(Расценки!I:I,$A52))</f>
        <v/>
      </c>
    </row>
    <row r="53" ht="20" customHeight="1">
      <c r="A53">
        <f>IFERROR(AGGREGATE(15,6,ROW(Расценки!$F$7:$F$76)/(Расценки!$F$7:$F$76&gt;0),46),"")</f>
        <v/>
      </c>
      <c r="B53" s="80">
        <f>IF($A53="","",INDEX(Расценки!B:B,$A53))</f>
        <v/>
      </c>
      <c r="C53" s="81">
        <f>IF($A53="","",INDEX(Расценки!C:C,$A53))</f>
        <v/>
      </c>
      <c r="D53" s="82">
        <f>IF($A53="","",INDEX(Расценки!D:D,$A53))</f>
        <v/>
      </c>
      <c r="E53" s="83">
        <f>IF($A53="","",INDEX(Расценки!E:E,$A53))</f>
        <v/>
      </c>
      <c r="F53" s="84">
        <f>IF($A53="","",INDEX(Расценки!F:F,$A53))</f>
        <v/>
      </c>
      <c r="G53" s="83">
        <f>IF($A53="","",INDEX(Расценки!G:G,$A53))</f>
        <v/>
      </c>
      <c r="H53" s="85">
        <f>IF($A53="","",INDEX(Расценки!I:I,$A53))</f>
        <v/>
      </c>
    </row>
    <row r="54" ht="20" customHeight="1">
      <c r="A54">
        <f>IFERROR(AGGREGATE(15,6,ROW(Расценки!$F$7:$F$76)/(Расценки!$F$7:$F$76&gt;0),47),"")</f>
        <v/>
      </c>
      <c r="B54" s="74">
        <f>IF($A54="","",INDEX(Расценки!B:B,$A54))</f>
        <v/>
      </c>
      <c r="C54" s="75">
        <f>IF($A54="","",INDEX(Расценки!C:C,$A54))</f>
        <v/>
      </c>
      <c r="D54" s="76">
        <f>IF($A54="","",INDEX(Расценки!D:D,$A54))</f>
        <v/>
      </c>
      <c r="E54" s="77">
        <f>IF($A54="","",INDEX(Расценки!E:E,$A54))</f>
        <v/>
      </c>
      <c r="F54" s="78">
        <f>IF($A54="","",INDEX(Расценки!F:F,$A54))</f>
        <v/>
      </c>
      <c r="G54" s="77">
        <f>IF($A54="","",INDEX(Расценки!G:G,$A54))</f>
        <v/>
      </c>
      <c r="H54" s="79">
        <f>IF($A54="","",INDEX(Расценки!I:I,$A54))</f>
        <v/>
      </c>
    </row>
    <row r="55" ht="20" customHeight="1">
      <c r="A55">
        <f>IFERROR(AGGREGATE(15,6,ROW(Расценки!$F$7:$F$76)/(Расценки!$F$7:$F$76&gt;0),48),"")</f>
        <v/>
      </c>
      <c r="B55" s="80">
        <f>IF($A55="","",INDEX(Расценки!B:B,$A55))</f>
        <v/>
      </c>
      <c r="C55" s="81">
        <f>IF($A55="","",INDEX(Расценки!C:C,$A55))</f>
        <v/>
      </c>
      <c r="D55" s="82">
        <f>IF($A55="","",INDEX(Расценки!D:D,$A55))</f>
        <v/>
      </c>
      <c r="E55" s="83">
        <f>IF($A55="","",INDEX(Расценки!E:E,$A55))</f>
        <v/>
      </c>
      <c r="F55" s="84">
        <f>IF($A55="","",INDEX(Расценки!F:F,$A55))</f>
        <v/>
      </c>
      <c r="G55" s="83">
        <f>IF($A55="","",INDEX(Расценки!G:G,$A55))</f>
        <v/>
      </c>
      <c r="H55" s="85">
        <f>IF($A55="","",INDEX(Расценки!I:I,$A55))</f>
        <v/>
      </c>
    </row>
    <row r="56" ht="20" customHeight="1">
      <c r="A56">
        <f>IFERROR(AGGREGATE(15,6,ROW(Расценки!$F$7:$F$76)/(Расценки!$F$7:$F$76&gt;0),49),"")</f>
        <v/>
      </c>
      <c r="B56" s="74">
        <f>IF($A56="","",INDEX(Расценки!B:B,$A56))</f>
        <v/>
      </c>
      <c r="C56" s="75">
        <f>IF($A56="","",INDEX(Расценки!C:C,$A56))</f>
        <v/>
      </c>
      <c r="D56" s="76">
        <f>IF($A56="","",INDEX(Расценки!D:D,$A56))</f>
        <v/>
      </c>
      <c r="E56" s="77">
        <f>IF($A56="","",INDEX(Расценки!E:E,$A56))</f>
        <v/>
      </c>
      <c r="F56" s="78">
        <f>IF($A56="","",INDEX(Расценки!F:F,$A56))</f>
        <v/>
      </c>
      <c r="G56" s="77">
        <f>IF($A56="","",INDEX(Расценки!G:G,$A56))</f>
        <v/>
      </c>
      <c r="H56" s="79">
        <f>IF($A56="","",INDEX(Расценки!I:I,$A56))</f>
        <v/>
      </c>
    </row>
    <row r="57" ht="20" customHeight="1">
      <c r="A57">
        <f>IFERROR(AGGREGATE(15,6,ROW(Расценки!$F$7:$F$76)/(Расценки!$F$7:$F$76&gt;0),50),"")</f>
        <v/>
      </c>
      <c r="B57" s="80">
        <f>IF($A57="","",INDEX(Расценки!B:B,$A57))</f>
        <v/>
      </c>
      <c r="C57" s="81">
        <f>IF($A57="","",INDEX(Расценки!C:C,$A57))</f>
        <v/>
      </c>
      <c r="D57" s="82">
        <f>IF($A57="","",INDEX(Расценки!D:D,$A57))</f>
        <v/>
      </c>
      <c r="E57" s="83">
        <f>IF($A57="","",INDEX(Расценки!E:E,$A57))</f>
        <v/>
      </c>
      <c r="F57" s="84">
        <f>IF($A57="","",INDEX(Расценки!F:F,$A57))</f>
        <v/>
      </c>
      <c r="G57" s="83">
        <f>IF($A57="","",INDEX(Расценки!G:G,$A57))</f>
        <v/>
      </c>
      <c r="H57" s="85">
        <f>IF($A57="","",INDEX(Расценки!I:I,$A57))</f>
        <v/>
      </c>
    </row>
    <row r="58" ht="20" customHeight="1">
      <c r="A58">
        <f>IFERROR(AGGREGATE(15,6,ROW(Расценки!$F$7:$F$76)/(Расценки!$F$7:$F$76&gt;0),51),"")</f>
        <v/>
      </c>
      <c r="B58" s="74">
        <f>IF($A58="","",INDEX(Расценки!B:B,$A58))</f>
        <v/>
      </c>
      <c r="C58" s="75">
        <f>IF($A58="","",INDEX(Расценки!C:C,$A58))</f>
        <v/>
      </c>
      <c r="D58" s="76">
        <f>IF($A58="","",INDEX(Расценки!D:D,$A58))</f>
        <v/>
      </c>
      <c r="E58" s="77">
        <f>IF($A58="","",INDEX(Расценки!E:E,$A58))</f>
        <v/>
      </c>
      <c r="F58" s="78">
        <f>IF($A58="","",INDEX(Расценки!F:F,$A58))</f>
        <v/>
      </c>
      <c r="G58" s="77">
        <f>IF($A58="","",INDEX(Расценки!G:G,$A58))</f>
        <v/>
      </c>
      <c r="H58" s="79">
        <f>IF($A58="","",INDEX(Расценки!I:I,$A58))</f>
        <v/>
      </c>
    </row>
    <row r="59" ht="20" customHeight="1">
      <c r="A59">
        <f>IFERROR(AGGREGATE(15,6,ROW(Расценки!$F$7:$F$76)/(Расценки!$F$7:$F$76&gt;0),52),"")</f>
        <v/>
      </c>
      <c r="B59" s="80">
        <f>IF($A59="","",INDEX(Расценки!B:B,$A59))</f>
        <v/>
      </c>
      <c r="C59" s="81">
        <f>IF($A59="","",INDEX(Расценки!C:C,$A59))</f>
        <v/>
      </c>
      <c r="D59" s="82">
        <f>IF($A59="","",INDEX(Расценки!D:D,$A59))</f>
        <v/>
      </c>
      <c r="E59" s="83">
        <f>IF($A59="","",INDEX(Расценки!E:E,$A59))</f>
        <v/>
      </c>
      <c r="F59" s="84">
        <f>IF($A59="","",INDEX(Расценки!F:F,$A59))</f>
        <v/>
      </c>
      <c r="G59" s="83">
        <f>IF($A59="","",INDEX(Расценки!G:G,$A59))</f>
        <v/>
      </c>
      <c r="H59" s="85">
        <f>IF($A59="","",INDEX(Расценки!I:I,$A59))</f>
        <v/>
      </c>
    </row>
    <row r="60" ht="20" customHeight="1">
      <c r="A60">
        <f>IFERROR(AGGREGATE(15,6,ROW(Расценки!$F$7:$F$76)/(Расценки!$F$7:$F$76&gt;0),53),"")</f>
        <v/>
      </c>
      <c r="B60" s="74">
        <f>IF($A60="","",INDEX(Расценки!B:B,$A60))</f>
        <v/>
      </c>
      <c r="C60" s="75">
        <f>IF($A60="","",INDEX(Расценки!C:C,$A60))</f>
        <v/>
      </c>
      <c r="D60" s="76">
        <f>IF($A60="","",INDEX(Расценки!D:D,$A60))</f>
        <v/>
      </c>
      <c r="E60" s="77">
        <f>IF($A60="","",INDEX(Расценки!E:E,$A60))</f>
        <v/>
      </c>
      <c r="F60" s="78">
        <f>IF($A60="","",INDEX(Расценки!F:F,$A60))</f>
        <v/>
      </c>
      <c r="G60" s="77">
        <f>IF($A60="","",INDEX(Расценки!G:G,$A60))</f>
        <v/>
      </c>
      <c r="H60" s="79">
        <f>IF($A60="","",INDEX(Расценки!I:I,$A60))</f>
        <v/>
      </c>
    </row>
    <row r="61" ht="20" customHeight="1">
      <c r="A61">
        <f>IFERROR(AGGREGATE(15,6,ROW(Расценки!$F$7:$F$76)/(Расценки!$F$7:$F$76&gt;0),54),"")</f>
        <v/>
      </c>
      <c r="B61" s="80">
        <f>IF($A61="","",INDEX(Расценки!B:B,$A61))</f>
        <v/>
      </c>
      <c r="C61" s="81">
        <f>IF($A61="","",INDEX(Расценки!C:C,$A61))</f>
        <v/>
      </c>
      <c r="D61" s="82">
        <f>IF($A61="","",INDEX(Расценки!D:D,$A61))</f>
        <v/>
      </c>
      <c r="E61" s="83">
        <f>IF($A61="","",INDEX(Расценки!E:E,$A61))</f>
        <v/>
      </c>
      <c r="F61" s="84">
        <f>IF($A61="","",INDEX(Расценки!F:F,$A61))</f>
        <v/>
      </c>
      <c r="G61" s="83">
        <f>IF($A61="","",INDEX(Расценки!G:G,$A61))</f>
        <v/>
      </c>
      <c r="H61" s="85">
        <f>IF($A61="","",INDEX(Расценки!I:I,$A61))</f>
        <v/>
      </c>
    </row>
    <row r="62" ht="20" customHeight="1">
      <c r="A62">
        <f>IFERROR(AGGREGATE(15,6,ROW(Расценки!$F$7:$F$76)/(Расценки!$F$7:$F$76&gt;0),55),"")</f>
        <v/>
      </c>
      <c r="B62" s="74">
        <f>IF($A62="","",INDEX(Расценки!B:B,$A62))</f>
        <v/>
      </c>
      <c r="C62" s="75">
        <f>IF($A62="","",INDEX(Расценки!C:C,$A62))</f>
        <v/>
      </c>
      <c r="D62" s="76">
        <f>IF($A62="","",INDEX(Расценки!D:D,$A62))</f>
        <v/>
      </c>
      <c r="E62" s="77">
        <f>IF($A62="","",INDEX(Расценки!E:E,$A62))</f>
        <v/>
      </c>
      <c r="F62" s="78">
        <f>IF($A62="","",INDEX(Расценки!F:F,$A62))</f>
        <v/>
      </c>
      <c r="G62" s="77">
        <f>IF($A62="","",INDEX(Расценки!G:G,$A62))</f>
        <v/>
      </c>
      <c r="H62" s="79">
        <f>IF($A62="","",INDEX(Расценки!I:I,$A62))</f>
        <v/>
      </c>
    </row>
    <row r="63" ht="20" customHeight="1">
      <c r="A63">
        <f>IFERROR(AGGREGATE(15,6,ROW(Расценки!$F$7:$F$76)/(Расценки!$F$7:$F$76&gt;0),56),"")</f>
        <v/>
      </c>
      <c r="B63" s="80">
        <f>IF($A63="","",INDEX(Расценки!B:B,$A63))</f>
        <v/>
      </c>
      <c r="C63" s="81">
        <f>IF($A63="","",INDEX(Расценки!C:C,$A63))</f>
        <v/>
      </c>
      <c r="D63" s="82">
        <f>IF($A63="","",INDEX(Расценки!D:D,$A63))</f>
        <v/>
      </c>
      <c r="E63" s="83">
        <f>IF($A63="","",INDEX(Расценки!E:E,$A63))</f>
        <v/>
      </c>
      <c r="F63" s="84">
        <f>IF($A63="","",INDEX(Расценки!F:F,$A63))</f>
        <v/>
      </c>
      <c r="G63" s="83">
        <f>IF($A63="","",INDEX(Расценки!G:G,$A63))</f>
        <v/>
      </c>
      <c r="H63" s="85">
        <f>IF($A63="","",INDEX(Расценки!I:I,$A63))</f>
        <v/>
      </c>
    </row>
    <row r="64" ht="20" customHeight="1">
      <c r="A64">
        <f>IFERROR(AGGREGATE(15,6,ROW(Расценки!$F$7:$F$76)/(Расценки!$F$7:$F$76&gt;0),57),"")</f>
        <v/>
      </c>
      <c r="B64" s="74">
        <f>IF($A64="","",INDEX(Расценки!B:B,$A64))</f>
        <v/>
      </c>
      <c r="C64" s="75">
        <f>IF($A64="","",INDEX(Расценки!C:C,$A64))</f>
        <v/>
      </c>
      <c r="D64" s="76">
        <f>IF($A64="","",INDEX(Расценки!D:D,$A64))</f>
        <v/>
      </c>
      <c r="E64" s="77">
        <f>IF($A64="","",INDEX(Расценки!E:E,$A64))</f>
        <v/>
      </c>
      <c r="F64" s="78">
        <f>IF($A64="","",INDEX(Расценки!F:F,$A64))</f>
        <v/>
      </c>
      <c r="G64" s="77">
        <f>IF($A64="","",INDEX(Расценки!G:G,$A64))</f>
        <v/>
      </c>
      <c r="H64" s="79">
        <f>IF($A64="","",INDEX(Расценки!I:I,$A64))</f>
        <v/>
      </c>
    </row>
    <row r="65" ht="20" customHeight="1">
      <c r="A65">
        <f>IFERROR(AGGREGATE(15,6,ROW(Расценки!$F$7:$F$76)/(Расценки!$F$7:$F$76&gt;0),58),"")</f>
        <v/>
      </c>
      <c r="B65" s="80">
        <f>IF($A65="","",INDEX(Расценки!B:B,$A65))</f>
        <v/>
      </c>
      <c r="C65" s="81">
        <f>IF($A65="","",INDEX(Расценки!C:C,$A65))</f>
        <v/>
      </c>
      <c r="D65" s="82">
        <f>IF($A65="","",INDEX(Расценки!D:D,$A65))</f>
        <v/>
      </c>
      <c r="E65" s="83">
        <f>IF($A65="","",INDEX(Расценки!E:E,$A65))</f>
        <v/>
      </c>
      <c r="F65" s="84">
        <f>IF($A65="","",INDEX(Расценки!F:F,$A65))</f>
        <v/>
      </c>
      <c r="G65" s="83">
        <f>IF($A65="","",INDEX(Расценки!G:G,$A65))</f>
        <v/>
      </c>
      <c r="H65" s="85">
        <f>IF($A65="","",INDEX(Расценки!I:I,$A65))</f>
        <v/>
      </c>
    </row>
    <row r="66" ht="20" customHeight="1">
      <c r="A66">
        <f>IFERROR(AGGREGATE(15,6,ROW(Расценки!$F$7:$F$76)/(Расценки!$F$7:$F$76&gt;0),59),"")</f>
        <v/>
      </c>
      <c r="B66" s="74">
        <f>IF($A66="","",INDEX(Расценки!B:B,$A66))</f>
        <v/>
      </c>
      <c r="C66" s="75">
        <f>IF($A66="","",INDEX(Расценки!C:C,$A66))</f>
        <v/>
      </c>
      <c r="D66" s="76">
        <f>IF($A66="","",INDEX(Расценки!D:D,$A66))</f>
        <v/>
      </c>
      <c r="E66" s="77">
        <f>IF($A66="","",INDEX(Расценки!E:E,$A66))</f>
        <v/>
      </c>
      <c r="F66" s="78">
        <f>IF($A66="","",INDEX(Расценки!F:F,$A66))</f>
        <v/>
      </c>
      <c r="G66" s="77">
        <f>IF($A66="","",INDEX(Расценки!G:G,$A66))</f>
        <v/>
      </c>
      <c r="H66" s="79">
        <f>IF($A66="","",INDEX(Расценки!I:I,$A66))</f>
        <v/>
      </c>
    </row>
    <row r="67" ht="20" customHeight="1">
      <c r="A67">
        <f>IFERROR(AGGREGATE(15,6,ROW(Расценки!$F$7:$F$76)/(Расценки!$F$7:$F$76&gt;0),60),"")</f>
        <v/>
      </c>
      <c r="B67" s="80">
        <f>IF($A67="","",INDEX(Расценки!B:B,$A67))</f>
        <v/>
      </c>
      <c r="C67" s="81">
        <f>IF($A67="","",INDEX(Расценки!C:C,$A67))</f>
        <v/>
      </c>
      <c r="D67" s="82">
        <f>IF($A67="","",INDEX(Расценки!D:D,$A67))</f>
        <v/>
      </c>
      <c r="E67" s="83">
        <f>IF($A67="","",INDEX(Расценки!E:E,$A67))</f>
        <v/>
      </c>
      <c r="F67" s="84">
        <f>IF($A67="","",INDEX(Расценки!F:F,$A67))</f>
        <v/>
      </c>
      <c r="G67" s="83">
        <f>IF($A67="","",INDEX(Расценки!G:G,$A67))</f>
        <v/>
      </c>
      <c r="H67" s="85">
        <f>IF($A67="","",INDEX(Расценки!I:I,$A67))</f>
        <v/>
      </c>
    </row>
    <row r="68" ht="20" customHeight="1">
      <c r="A68">
        <f>IFERROR(AGGREGATE(15,6,ROW(Расценки!$F$7:$F$76)/(Расценки!$F$7:$F$76&gt;0),61),"")</f>
        <v/>
      </c>
      <c r="B68" s="74">
        <f>IF($A68="","",INDEX(Расценки!B:B,$A68))</f>
        <v/>
      </c>
      <c r="C68" s="75">
        <f>IF($A68="","",INDEX(Расценки!C:C,$A68))</f>
        <v/>
      </c>
      <c r="D68" s="76">
        <f>IF($A68="","",INDEX(Расценки!D:D,$A68))</f>
        <v/>
      </c>
      <c r="E68" s="77">
        <f>IF($A68="","",INDEX(Расценки!E:E,$A68))</f>
        <v/>
      </c>
      <c r="F68" s="78">
        <f>IF($A68="","",INDEX(Расценки!F:F,$A68))</f>
        <v/>
      </c>
      <c r="G68" s="77">
        <f>IF($A68="","",INDEX(Расценки!G:G,$A68))</f>
        <v/>
      </c>
      <c r="H68" s="79">
        <f>IF($A68="","",INDEX(Расценки!I:I,$A68))</f>
        <v/>
      </c>
    </row>
    <row r="69" ht="20" customHeight="1">
      <c r="A69">
        <f>IFERROR(AGGREGATE(15,6,ROW(Расценки!$F$7:$F$76)/(Расценки!$F$7:$F$76&gt;0),62),"")</f>
        <v/>
      </c>
      <c r="B69" s="80">
        <f>IF($A69="","",INDEX(Расценки!B:B,$A69))</f>
        <v/>
      </c>
      <c r="C69" s="81">
        <f>IF($A69="","",INDEX(Расценки!C:C,$A69))</f>
        <v/>
      </c>
      <c r="D69" s="82">
        <f>IF($A69="","",INDEX(Расценки!D:D,$A69))</f>
        <v/>
      </c>
      <c r="E69" s="83">
        <f>IF($A69="","",INDEX(Расценки!E:E,$A69))</f>
        <v/>
      </c>
      <c r="F69" s="84">
        <f>IF($A69="","",INDEX(Расценки!F:F,$A69))</f>
        <v/>
      </c>
      <c r="G69" s="83">
        <f>IF($A69="","",INDEX(Расценки!G:G,$A69))</f>
        <v/>
      </c>
      <c r="H69" s="85">
        <f>IF($A69="","",INDEX(Расценки!I:I,$A69))</f>
        <v/>
      </c>
    </row>
    <row r="70" ht="20" customHeight="1">
      <c r="A70">
        <f>IFERROR(AGGREGATE(15,6,ROW(Расценки!$F$7:$F$76)/(Расценки!$F$7:$F$76&gt;0),63),"")</f>
        <v/>
      </c>
      <c r="B70" s="74">
        <f>IF($A70="","",INDEX(Расценки!B:B,$A70))</f>
        <v/>
      </c>
      <c r="C70" s="75">
        <f>IF($A70="","",INDEX(Расценки!C:C,$A70))</f>
        <v/>
      </c>
      <c r="D70" s="76">
        <f>IF($A70="","",INDEX(Расценки!D:D,$A70))</f>
        <v/>
      </c>
      <c r="E70" s="77">
        <f>IF($A70="","",INDEX(Расценки!E:E,$A70))</f>
        <v/>
      </c>
      <c r="F70" s="78">
        <f>IF($A70="","",INDEX(Расценки!F:F,$A70))</f>
        <v/>
      </c>
      <c r="G70" s="77">
        <f>IF($A70="","",INDEX(Расценки!G:G,$A70))</f>
        <v/>
      </c>
      <c r="H70" s="79">
        <f>IF($A70="","",INDEX(Расценки!I:I,$A70))</f>
        <v/>
      </c>
    </row>
    <row r="71" ht="20" customHeight="1">
      <c r="A71">
        <f>IFERROR(AGGREGATE(15,6,ROW(Расценки!$F$7:$F$76)/(Расценки!$F$7:$F$76&gt;0),64),"")</f>
        <v/>
      </c>
      <c r="B71" s="80">
        <f>IF($A71="","",INDEX(Расценки!B:B,$A71))</f>
        <v/>
      </c>
      <c r="C71" s="81">
        <f>IF($A71="","",INDEX(Расценки!C:C,$A71))</f>
        <v/>
      </c>
      <c r="D71" s="82">
        <f>IF($A71="","",INDEX(Расценки!D:D,$A71))</f>
        <v/>
      </c>
      <c r="E71" s="83">
        <f>IF($A71="","",INDEX(Расценки!E:E,$A71))</f>
        <v/>
      </c>
      <c r="F71" s="84">
        <f>IF($A71="","",INDEX(Расценки!F:F,$A71))</f>
        <v/>
      </c>
      <c r="G71" s="83">
        <f>IF($A71="","",INDEX(Расценки!G:G,$A71))</f>
        <v/>
      </c>
      <c r="H71" s="85">
        <f>IF($A71="","",INDEX(Расценки!I:I,$A71))</f>
        <v/>
      </c>
    </row>
    <row r="72" ht="20" customHeight="1">
      <c r="A72">
        <f>IFERROR(AGGREGATE(15,6,ROW(Расценки!$F$7:$F$76)/(Расценки!$F$7:$F$76&gt;0),65),"")</f>
        <v/>
      </c>
      <c r="B72" s="74">
        <f>IF($A72="","",INDEX(Расценки!B:B,$A72))</f>
        <v/>
      </c>
      <c r="C72" s="75">
        <f>IF($A72="","",INDEX(Расценки!C:C,$A72))</f>
        <v/>
      </c>
      <c r="D72" s="76">
        <f>IF($A72="","",INDEX(Расценки!D:D,$A72))</f>
        <v/>
      </c>
      <c r="E72" s="77">
        <f>IF($A72="","",INDEX(Расценки!E:E,$A72))</f>
        <v/>
      </c>
      <c r="F72" s="78">
        <f>IF($A72="","",INDEX(Расценки!F:F,$A72))</f>
        <v/>
      </c>
      <c r="G72" s="77">
        <f>IF($A72="","",INDEX(Расценки!G:G,$A72))</f>
        <v/>
      </c>
      <c r="H72" s="79">
        <f>IF($A72="","",INDEX(Расценки!I:I,$A72))</f>
        <v/>
      </c>
    </row>
    <row r="73" ht="20" customHeight="1">
      <c r="A73">
        <f>IFERROR(AGGREGATE(15,6,ROW(Расценки!$F$7:$F$76)/(Расценки!$F$7:$F$76&gt;0),66),"")</f>
        <v/>
      </c>
      <c r="B73" s="80">
        <f>IF($A73="","",INDEX(Расценки!B:B,$A73))</f>
        <v/>
      </c>
      <c r="C73" s="81">
        <f>IF($A73="","",INDEX(Расценки!C:C,$A73))</f>
        <v/>
      </c>
      <c r="D73" s="82">
        <f>IF($A73="","",INDEX(Расценки!D:D,$A73))</f>
        <v/>
      </c>
      <c r="E73" s="83">
        <f>IF($A73="","",INDEX(Расценки!E:E,$A73))</f>
        <v/>
      </c>
      <c r="F73" s="84">
        <f>IF($A73="","",INDEX(Расценки!F:F,$A73))</f>
        <v/>
      </c>
      <c r="G73" s="83">
        <f>IF($A73="","",INDEX(Расценки!G:G,$A73))</f>
        <v/>
      </c>
      <c r="H73" s="85">
        <f>IF($A73="","",INDEX(Расценки!I:I,$A73))</f>
        <v/>
      </c>
    </row>
    <row r="74" ht="20" customHeight="1">
      <c r="A74">
        <f>IFERROR(AGGREGATE(15,6,ROW(Расценки!$F$7:$F$76)/(Расценки!$F$7:$F$76&gt;0),67),"")</f>
        <v/>
      </c>
      <c r="B74" s="74">
        <f>IF($A74="","",INDEX(Расценки!B:B,$A74))</f>
        <v/>
      </c>
      <c r="C74" s="75">
        <f>IF($A74="","",INDEX(Расценки!C:C,$A74))</f>
        <v/>
      </c>
      <c r="D74" s="76">
        <f>IF($A74="","",INDEX(Расценки!D:D,$A74))</f>
        <v/>
      </c>
      <c r="E74" s="77">
        <f>IF($A74="","",INDEX(Расценки!E:E,$A74))</f>
        <v/>
      </c>
      <c r="F74" s="78">
        <f>IF($A74="","",INDEX(Расценки!F:F,$A74))</f>
        <v/>
      </c>
      <c r="G74" s="77">
        <f>IF($A74="","",INDEX(Расценки!G:G,$A74))</f>
        <v/>
      </c>
      <c r="H74" s="79">
        <f>IF($A74="","",INDEX(Расценки!I:I,$A74))</f>
        <v/>
      </c>
    </row>
    <row r="75" ht="20" customHeight="1">
      <c r="A75">
        <f>IFERROR(AGGREGATE(15,6,ROW(Расценки!$F$7:$F$76)/(Расценки!$F$7:$F$76&gt;0),68),"")</f>
        <v/>
      </c>
      <c r="B75" s="80">
        <f>IF($A75="","",INDEX(Расценки!B:B,$A75))</f>
        <v/>
      </c>
      <c r="C75" s="81">
        <f>IF($A75="","",INDEX(Расценки!C:C,$A75))</f>
        <v/>
      </c>
      <c r="D75" s="82">
        <f>IF($A75="","",INDEX(Расценки!D:D,$A75))</f>
        <v/>
      </c>
      <c r="E75" s="83">
        <f>IF($A75="","",INDEX(Расценки!E:E,$A75))</f>
        <v/>
      </c>
      <c r="F75" s="84">
        <f>IF($A75="","",INDEX(Расценки!F:F,$A75))</f>
        <v/>
      </c>
      <c r="G75" s="83">
        <f>IF($A75="","",INDEX(Расценки!G:G,$A75))</f>
        <v/>
      </c>
      <c r="H75" s="85">
        <f>IF($A75="","",INDEX(Расценки!I:I,$A75))</f>
        <v/>
      </c>
    </row>
    <row r="76" ht="20" customHeight="1">
      <c r="A76">
        <f>IFERROR(AGGREGATE(15,6,ROW(Расценки!$F$7:$F$76)/(Расценки!$F$7:$F$76&gt;0),69),"")</f>
        <v/>
      </c>
      <c r="B76" s="74">
        <f>IF($A76="","",INDEX(Расценки!B:B,$A76))</f>
        <v/>
      </c>
      <c r="C76" s="75">
        <f>IF($A76="","",INDEX(Расценки!C:C,$A76))</f>
        <v/>
      </c>
      <c r="D76" s="76">
        <f>IF($A76="","",INDEX(Расценки!D:D,$A76))</f>
        <v/>
      </c>
      <c r="E76" s="77">
        <f>IF($A76="","",INDEX(Расценки!E:E,$A76))</f>
        <v/>
      </c>
      <c r="F76" s="78">
        <f>IF($A76="","",INDEX(Расценки!F:F,$A76))</f>
        <v/>
      </c>
      <c r="G76" s="77">
        <f>IF($A76="","",INDEX(Расценки!G:G,$A76))</f>
        <v/>
      </c>
      <c r="H76" s="79">
        <f>IF($A76="","",INDEX(Расценки!I:I,$A76))</f>
        <v/>
      </c>
    </row>
    <row r="77" ht="20" customHeight="1">
      <c r="A77">
        <f>IFERROR(AGGREGATE(15,6,ROW(Расценки!$F$7:$F$76)/(Расценки!$F$7:$F$76&gt;0),70),"")</f>
        <v/>
      </c>
      <c r="B77" s="80">
        <f>IF($A77="","",INDEX(Расценки!B:B,$A77))</f>
        <v/>
      </c>
      <c r="C77" s="81">
        <f>IF($A77="","",INDEX(Расценки!C:C,$A77))</f>
        <v/>
      </c>
      <c r="D77" s="82">
        <f>IF($A77="","",INDEX(Расценки!D:D,$A77))</f>
        <v/>
      </c>
      <c r="E77" s="83">
        <f>IF($A77="","",INDEX(Расценки!E:E,$A77))</f>
        <v/>
      </c>
      <c r="F77" s="84">
        <f>IF($A77="","",INDEX(Расценки!F:F,$A77))</f>
        <v/>
      </c>
      <c r="G77" s="83">
        <f>IF($A77="","",INDEX(Расценки!G:G,$A77))</f>
        <v/>
      </c>
      <c r="H77" s="85">
        <f>IF($A77="","",INDEX(Расценки!I:I,$A77))</f>
        <v/>
      </c>
    </row>
    <row r="79" ht="26" customHeight="1">
      <c r="B79" s="86" t="inlineStr">
        <is>
          <t>ИТОГО</t>
        </is>
      </c>
      <c r="C79" s="1" t="n"/>
      <c r="D79" s="1" t="n"/>
      <c r="E79" s="1" t="n"/>
      <c r="F79" s="1" t="n"/>
      <c r="G79" s="55">
        <f>SUM(G8:G77)</f>
        <v/>
      </c>
      <c r="H79" s="1" t="n"/>
    </row>
  </sheetData>
  <mergeCells count="9">
    <mergeCell ref="G4:H4"/>
    <mergeCell ref="E4:F4"/>
    <mergeCell ref="B3:D3"/>
    <mergeCell ref="B4:D4"/>
    <mergeCell ref="B6:H6"/>
    <mergeCell ref="B2:H2"/>
    <mergeCell ref="B79:F79"/>
    <mergeCell ref="G3:H3"/>
    <mergeCell ref="E3:F3"/>
  </mergeCells>
  <printOptions horizontalCentered="1"/>
  <pageMargins left="0.5" right="0.5" top="0.7" bottom="0.6" header="0.25" footer="0.25"/>
  <pageSetup orientation="landscape" paperSize="9" fitToHeight="0" fitToWidth="1"/>
  <headerFooter>
    <oddHeader>&amp;L&amp;K1B365D&amp;B Расценки на работы&amp;R&amp;K5B6770 Сентябрь</oddHeader>
    <oddFooter>&amp;L&amp;K5B6770&amp;"Calibri" По скану прайс-листа&amp;R&amp;K5B6770 стр.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5B6770"/>
    <outlinePr summaryBelow="1" summaryRight="1"/>
    <pageSetUpPr fitToPage="1"/>
  </sheetPr>
  <dimension ref="A1:C1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88" customWidth="1" min="3" max="3"/>
  </cols>
  <sheetData>
    <row r="1" ht="8" customHeight="1">
      <c r="A1" s="1" t="n"/>
      <c r="B1" s="1" t="n"/>
      <c r="C1" s="1" t="n"/>
    </row>
    <row r="2">
      <c r="B2" s="87" t="inlineStr">
        <is>
          <t>Как собран этот файл</t>
        </is>
      </c>
    </row>
    <row r="3">
      <c r="B3" s="88" t="inlineStr">
        <is>
          <t>Источник — двухстраничный скан «Расценки, сентябрь». Текст набран заново, цены сверены.</t>
        </is>
      </c>
    </row>
    <row r="5" ht="36" customHeight="1">
      <c r="B5" s="89" t="inlineStr">
        <is>
          <t>Структура</t>
        </is>
      </c>
      <c r="C5" s="90" t="inlineStr">
        <is>
          <t>Сохранены исходные номера позиций. В скане нет № 12. Доборы в скане повторно помечены как № 57 — здесь это 58а.</t>
        </is>
      </c>
    </row>
    <row r="6" ht="36" customHeight="1">
      <c r="B6" s="89" t="inlineStr">
        <is>
          <t>Рукописные правки</t>
        </is>
      </c>
      <c r="C6" s="90" t="inlineStr">
        <is>
          <t>Жёлтые строки: цена зачёркнута и вписана от руки, либо позиция дописана внизу первой страницы (цоколь, фасадный декор).</t>
        </is>
      </c>
    </row>
    <row r="7" ht="36" customHeight="1">
      <c r="B7" s="89" t="inlineStr">
        <is>
          <t>Обведённые позиции</t>
        </is>
      </c>
      <c r="C7" s="90" t="inlineStr">
        <is>
          <t>Розовые строки 43–45 (плитка: облицовка стен, лючок, эпоксидная затирка) обведены на скане.</t>
        </is>
      </c>
    </row>
    <row r="8" ht="36" customHeight="1">
      <c r="B8" s="89" t="inlineStr">
        <is>
          <t>Не входит</t>
        </is>
      </c>
      <c r="C8" s="90" t="inlineStr">
        <is>
          <t>Сверление отверстий в плитке (№ 48) зачёркнуто и подписано «не входит». Цена сохранена для справки, в итог попадёт только если указать количество.</t>
        </is>
      </c>
    </row>
    <row r="9" ht="36" customHeight="1">
      <c r="B9" s="89" t="inlineStr">
        <is>
          <t>Позиция № 34</t>
        </is>
      </c>
      <c r="C9" s="90" t="inlineStr">
        <is>
          <t>Шпатлёвка стен под покраску: в скане 800 ₽ и знак «?». Имеет смысл перепроверить.</t>
        </is>
      </c>
    </row>
    <row r="10" ht="36" customHeight="1">
      <c r="B10" s="89" t="inlineStr">
        <is>
          <t>Единицы</t>
        </is>
      </c>
      <c r="C10" s="90" t="inlineStr">
        <is>
          <t>м² — квадратный метр, м.п. — метр погонный, шт. — штука.</t>
        </is>
      </c>
    </row>
    <row r="11" ht="36" customHeight="1">
      <c r="B11" s="89" t="inlineStr">
        <is>
          <t>Смета</t>
        </is>
      </c>
      <c r="C11" s="90" t="inlineStr">
        <is>
          <t>На листе «Расценки» введите объёмы в зелёные ячейки «Кол-во». Итог и лист «Смета» пересчитаются автоматически.</t>
        </is>
      </c>
    </row>
    <row r="12" ht="36" customHeight="1">
      <c r="B12" s="89" t="inlineStr">
        <is>
          <t>Нумерация дверей</t>
        </is>
      </c>
      <c r="C12" s="90" t="inlineStr">
        <is>
          <t>56 — входные металлические, 57 — межкомнатные, 58 — двухстворчатая, 58а — доборы, 59 — врезка замков, 60 — наличник.</t>
        </is>
      </c>
    </row>
    <row r="14">
      <c r="B14" s="56" t="inlineStr">
        <is>
          <t>Условные обозначения заливки</t>
        </is>
      </c>
    </row>
    <row r="15" ht="22" customHeight="1">
      <c r="B15" s="91" t="inlineStr">
        <is>
          <t>Жёлтый</t>
        </is>
      </c>
      <c r="C15" s="59" t="inlineStr">
        <is>
          <t>Исправлено или добавлено от руки</t>
        </is>
      </c>
    </row>
    <row r="16" ht="22" customHeight="1">
      <c r="B16" s="92" t="inlineStr">
        <is>
          <t>Розовый</t>
        </is>
      </c>
      <c r="C16" s="59" t="inlineStr">
        <is>
          <t>Обведено на скане</t>
        </is>
      </c>
    </row>
    <row r="17" ht="22" customHeight="1">
      <c r="B17" s="93" t="inlineStr">
        <is>
          <t>Серый</t>
        </is>
      </c>
      <c r="C17" s="59" t="inlineStr">
        <is>
          <t>Помечено «не входит»</t>
        </is>
      </c>
    </row>
    <row r="18" ht="22" customHeight="1">
      <c r="B18" s="94" t="inlineStr">
        <is>
          <t>Зелёный</t>
        </is>
      </c>
      <c r="C18" s="59" t="inlineStr">
        <is>
          <t>Поле для ввода количества</t>
        </is>
      </c>
    </row>
  </sheetData>
  <mergeCells count="3">
    <mergeCell ref="B3:C3"/>
    <mergeCell ref="B14:C14"/>
    <mergeCell ref="B2:C2"/>
  </mergeCells>
  <printOptions horizontalCentered="1"/>
  <pageMargins left="0.5" right="0.5" top="0.7" bottom="0.6" header="0.25" footer="0.25"/>
  <pageSetup orientation="portrait" paperSize="9" fitToHeight="0" fitToWidth="1"/>
  <headerFooter>
    <oddHeader>&amp;L&amp;K1B365D&amp;B Расценки на работы&amp;R&amp;K5B6770 Сентябрь</oddHeader>
    <oddFooter>&amp;L&amp;K5B6770&amp;"Calibri" По скану прайс-листа&amp;R&amp;K5B6770 стр.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По скану «Расценки сентябрь»</dc:creator>
  <dc:title>Расценки на работы — сентябрь</dc:title>
  <dc:description>Табличный прайс: 62 позиции, 8 разделов. Количество вводится на листе «Расценки», смета считается автоматически.</dc:description>
  <dc:subject>Прайс-лист отделочных и монтажных работ</dc:subject>
  <dcterms:created xsi:type="dcterms:W3CDTF">2026-09-13T08:44:51Z</dcterms:created>
  <dcterms:modified xsi:type="dcterms:W3CDTF">2026-09-13T08:44:51Z</dcterms:modified>
</cp:coreProperties>
</file>