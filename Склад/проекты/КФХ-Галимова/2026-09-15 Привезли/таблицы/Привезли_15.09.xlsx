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везли 15.09" sheetId="1" state="visible" r:id="rId1"/>
    <sheet name="Списки" sheetId="2" state="hidden" r:id="rId2"/>
    <sheet name="По местам" sheetId="3" state="visible" r:id="rId3"/>
    <sheet name="Документы" sheetId="4" state="visible" r:id="rId4"/>
  </sheets>
  <definedNames>
    <definedName name="_xlnm._FilterDatabase" localSheetId="0" hidden="1">'Привезли 15.09'!$A$5:$K$32</definedName>
    <definedName name="_xlnm.Print_Titles" localSheetId="0">'Привезли 15.09'!$1:$5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1B3A4B"/>
      <sz val="12"/>
    </font>
    <font>
      <name val="Calibri"/>
      <sz val="12"/>
    </font>
    <font>
      <name val="Calibri"/>
      <b val="1"/>
      <color rgb="001B3A4B"/>
      <sz val="22"/>
    </font>
    <font>
      <name val="Calibri"/>
      <i val="1"/>
      <color rgb="005A6570"/>
      <sz val="11"/>
    </font>
    <font>
      <name val="Calibri"/>
      <color rgb="002C6E7A"/>
      <sz val="10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1A1A1A"/>
      <sz val="11"/>
    </font>
    <font>
      <name val="Calibri"/>
      <b val="1"/>
      <color rgb="001B3A4B"/>
      <sz val="11"/>
    </font>
    <font>
      <name val="Calibri"/>
      <b val="1"/>
      <color rgb="001B3A4B"/>
      <sz val="13"/>
    </font>
    <font>
      <name val="Calibri"/>
      <b val="1"/>
      <color rgb="001B3A4B"/>
      <sz val="20"/>
    </font>
    <font>
      <name val="Calibri"/>
      <b val="1"/>
      <sz val="11"/>
    </font>
    <font>
      <name val="Calibri"/>
      <b val="1"/>
      <color rgb="001B3A4B"/>
      <sz val="18"/>
    </font>
    <font>
      <name val="Calibri"/>
      <color rgb="005A6570"/>
      <sz val="10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B3A4B"/>
      </patternFill>
    </fill>
    <fill>
      <patternFill patternType="solid">
        <fgColor rgb="00FFFFFF"/>
      </patternFill>
    </fill>
    <fill>
      <patternFill patternType="solid">
        <fgColor rgb="00F4F7F8"/>
      </patternFill>
    </fill>
    <fill>
      <patternFill patternType="solid">
        <fgColor rgb="00E8EEF0"/>
      </patternFill>
    </fill>
    <fill>
      <patternFill patternType="solid">
        <fgColor rgb="00E3F4E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1" fontId="7" fillId="4" borderId="1" applyAlignment="1" pivotButton="0" quotePrefix="0" xfId="0">
      <alignment horizontal="center" vertical="center" wrapText="1"/>
    </xf>
    <xf numFmtId="4" fontId="7" fillId="4" borderId="1" applyAlignment="1" pivotButton="0" quotePrefix="0" xfId="0">
      <alignment horizontal="right" vertical="center"/>
    </xf>
    <xf numFmtId="4" fontId="8" fillId="4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 wrapText="1"/>
    </xf>
    <xf numFmtId="4" fontId="7" fillId="5" borderId="1" applyAlignment="1" pivotButton="0" quotePrefix="0" xfId="0">
      <alignment horizontal="right" vertical="center"/>
    </xf>
    <xf numFmtId="4" fontId="8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/>
    </xf>
    <xf numFmtId="1" fontId="9" fillId="0" borderId="0" applyAlignment="1" pivotButton="0" quotePrefix="0" xfId="0">
      <alignment horizontal="center" vertical="center"/>
    </xf>
    <xf numFmtId="4" fontId="10" fillId="6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1" fillId="0" borderId="0" pivotButton="0" quotePrefix="0" xfId="0"/>
    <xf numFmtId="0" fontId="4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4" fontId="12" fillId="0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 wrapText="1"/>
    </xf>
    <xf numFmtId="4" fontId="12" fillId="2" borderId="1" applyAlignment="1" pivotButton="0" quotePrefix="0" xfId="0">
      <alignment horizontal="right" vertical="center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4" fontId="1" fillId="6" borderId="1" applyAlignment="1" pivotButton="0" quotePrefix="0" xfId="0">
      <alignment horizontal="right" vertical="center"/>
    </xf>
    <xf numFmtId="0" fontId="13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F4CC"/>
        </patternFill>
      </fill>
    </dxf>
    <dxf>
      <fill>
        <patternFill patternType="solid">
          <fgColor rgb="00E3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Привезли 15.09</author>
  </authors>
  <commentList>
    <comment ref="G5" authorId="0" shapeId="0">
      <text>
        <t>Нажмите на ячейку — появится список:
2 склад
15 склад
офис</t>
      </text>
    </comment>
  </commentList>
</comments>
</file>

<file path=xl/tables/table1.xml><?xml version="1.0" encoding="utf-8"?>
<table xmlns="http://schemas.openxmlformats.org/spreadsheetml/2006/main" id="1" name="Tovar" displayName="Tovar" ref="A5:K32" headerRowCount="1">
  <autoFilter ref="A5:K32"/>
  <tableColumns count="11">
    <tableColumn id="1" name="№"/>
    <tableColumn id="2" name="Наименование"/>
    <tableColumn id="3" name="Кол-во"/>
    <tableColumn id="4" name="Ед."/>
    <tableColumn id="5" name="Цена"/>
    <tableColumn id="6" name="Сумма"/>
    <tableColumn id="7" name="Где находится"/>
    <tableColumn id="8" name="НДС"/>
    <tableColumn id="9" name="Поставщик"/>
    <tableColumn id="10" name="Документ"/>
    <tableColumn id="11" name="Дат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2C6E7A"/>
    <outlinePr summaryBelow="1" summaryRight="1"/>
    <pageSetUpPr fitToPage="1"/>
  </sheetPr>
  <dimension ref="A1:K34"/>
  <sheetViews>
    <sheetView showGridLines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0" customWidth="1" min="3" max="3"/>
    <col width="9" customWidth="1" min="4" max="4"/>
    <col width="13" customWidth="1" min="5" max="5"/>
    <col width="14" customWidth="1" min="6" max="6"/>
    <col width="18" customWidth="1" min="7" max="7"/>
    <col width="16" customWidth="1" min="8" max="8"/>
    <col width="38" customWidth="1" min="9" max="9"/>
    <col width="24" customWidth="1" min="10" max="10"/>
    <col width="13" customWidth="1" min="11" max="11"/>
  </cols>
  <sheetData>
    <row r="1" ht="28" customHeight="1">
      <c r="A1" s="1" t="inlineStr">
        <is>
          <t>ПРИВЕЗЛИ  15.09</t>
        </is>
      </c>
    </row>
    <row r="2" ht="20" customHeight="1">
      <c r="A2" s="2" t="inlineStr">
        <is>
          <t>К.Ф.Х. Галимова Р.М.  ·  27 позиций из счетов и УПД  ·  цена за единицу, ₽  ·  выберите место в колонке «Где находится»</t>
        </is>
      </c>
    </row>
    <row r="3" ht="22" customHeight="1">
      <c r="A3" s="3" t="inlineStr">
        <is>
          <t>Фильтры — стрелки в шапке таблицы.  «Где находится» — выпадающий список:  2 склад  ·  15 склад  ·  офис.  Жёлтая ячейка — место ещё не выбрано.</t>
        </is>
      </c>
    </row>
    <row r="4" ht="8" customHeight="1"/>
    <row r="5" ht="24" customHeight="1">
      <c r="A5" s="4" t="inlineStr">
        <is>
          <t>№</t>
        </is>
      </c>
      <c r="B5" s="4" t="inlineStr">
        <is>
          <t>Наименование</t>
        </is>
      </c>
      <c r="C5" s="4" t="inlineStr">
        <is>
          <t>Кол-во</t>
        </is>
      </c>
      <c r="D5" s="4" t="inlineStr">
        <is>
          <t>Ед.</t>
        </is>
      </c>
      <c r="E5" s="4" t="inlineStr">
        <is>
          <t>Цена</t>
        </is>
      </c>
      <c r="F5" s="4" t="inlineStr">
        <is>
          <t>Сумма</t>
        </is>
      </c>
      <c r="G5" s="4" t="inlineStr">
        <is>
          <t>Где находится</t>
        </is>
      </c>
      <c r="H5" s="4" t="inlineStr">
        <is>
          <t>НДС</t>
        </is>
      </c>
      <c r="I5" s="4" t="inlineStr">
        <is>
          <t>Поставщик</t>
        </is>
      </c>
      <c r="J5" s="4" t="inlineStr">
        <is>
          <t>Документ</t>
        </is>
      </c>
      <c r="K5" s="4" t="inlineStr">
        <is>
          <t>Дата</t>
        </is>
      </c>
    </row>
    <row r="6" ht="32" customHeight="1">
      <c r="A6" s="5" t="n">
        <v>1</v>
      </c>
      <c r="B6" s="6" t="inlineStr">
        <is>
          <t>Теплоотводящая многоразовая паста Errecom, 500 грамм</t>
        </is>
      </c>
      <c r="C6" s="7" t="n">
        <v>1</v>
      </c>
      <c r="D6" s="5" t="inlineStr">
        <is>
          <t>шт</t>
        </is>
      </c>
      <c r="E6" s="8" t="n">
        <v>10300</v>
      </c>
      <c r="F6" s="9">
        <f>C6*E6</f>
        <v/>
      </c>
      <c r="G6" s="10" t="n"/>
      <c r="H6" s="5" t="inlineStr">
        <is>
          <t>в т.ч. НДС</t>
        </is>
      </c>
      <c r="I6" s="6" t="inlineStr">
        <is>
          <t>ИП Пономарев С.В.</t>
        </is>
      </c>
      <c r="J6" s="6" t="inlineStr">
        <is>
          <t>Счёт-договор № 4553</t>
        </is>
      </c>
      <c r="K6" s="11" t="n">
        <v>46261</v>
      </c>
    </row>
    <row r="7" ht="32" customHeight="1">
      <c r="A7" s="12" t="n">
        <v>2</v>
      </c>
      <c r="B7" s="13" t="inlineStr">
        <is>
          <t>Ремкомплект для инспекционной колбы</t>
        </is>
      </c>
      <c r="C7" s="14" t="n">
        <v>2</v>
      </c>
      <c r="D7" s="12" t="inlineStr">
        <is>
          <t>шт</t>
        </is>
      </c>
      <c r="E7" s="15" t="n">
        <v>500</v>
      </c>
      <c r="F7" s="16">
        <f>C7*E7</f>
        <v/>
      </c>
      <c r="G7" s="10" t="n"/>
      <c r="H7" s="12" t="inlineStr">
        <is>
          <t>в т.ч. НДС</t>
        </is>
      </c>
      <c r="I7" s="13" t="inlineStr">
        <is>
          <t>ИП Пономарев С.В.</t>
        </is>
      </c>
      <c r="J7" s="13" t="inlineStr">
        <is>
          <t>Счёт-договор № 4553</t>
        </is>
      </c>
      <c r="K7" s="17" t="n">
        <v>46261</v>
      </c>
    </row>
    <row r="8" ht="32" customHeight="1">
      <c r="A8" s="5" t="n">
        <v>3</v>
      </c>
      <c r="B8" s="6" t="inlineStr">
        <is>
          <t>Абразивная ткань Castonet, уп. 5 шт</t>
        </is>
      </c>
      <c r="C8" s="7" t="n">
        <v>2</v>
      </c>
      <c r="D8" s="5" t="inlineStr">
        <is>
          <t>компл</t>
        </is>
      </c>
      <c r="E8" s="8" t="n">
        <v>3300</v>
      </c>
      <c r="F8" s="9">
        <f>C8*E8</f>
        <v/>
      </c>
      <c r="G8" s="10" t="n"/>
      <c r="H8" s="5" t="inlineStr">
        <is>
          <t>в т.ч. НДС</t>
        </is>
      </c>
      <c r="I8" s="6" t="inlineStr">
        <is>
          <t>ИП Пономарев С.В.</t>
        </is>
      </c>
      <c r="J8" s="6" t="inlineStr">
        <is>
          <t>Счёт-договор № 4553</t>
        </is>
      </c>
      <c r="K8" s="11" t="n">
        <v>46261</v>
      </c>
    </row>
    <row r="9" ht="32" customHeight="1">
      <c r="A9" s="12" t="n">
        <v>4</v>
      </c>
      <c r="B9" s="13" t="inlineStr">
        <is>
          <t>Wigam резиновая прокладка 619030, 1 штука</t>
        </is>
      </c>
      <c r="C9" s="14" t="n">
        <v>4</v>
      </c>
      <c r="D9" s="12" t="inlineStr">
        <is>
          <t>шт</t>
        </is>
      </c>
      <c r="E9" s="15" t="n">
        <v>225</v>
      </c>
      <c r="F9" s="16">
        <f>C9*E9</f>
        <v/>
      </c>
      <c r="G9" s="10" t="n"/>
      <c r="H9" s="12" t="inlineStr">
        <is>
          <t>в т.ч. НДС</t>
        </is>
      </c>
      <c r="I9" s="13" t="inlineStr">
        <is>
          <t>ИП Пономарев С.В.</t>
        </is>
      </c>
      <c r="J9" s="13" t="inlineStr">
        <is>
          <t>Счёт-договор № 4553</t>
        </is>
      </c>
      <c r="K9" s="17" t="n">
        <v>46261</v>
      </c>
    </row>
    <row r="10" ht="32" customHeight="1">
      <c r="A10" s="5" t="n">
        <v>5</v>
      </c>
      <c r="B10" s="6" t="inlineStr">
        <is>
          <t>Шланг 1/4 для установки внешнего фильтра на вход станции откачки и рекуперации фреона</t>
        </is>
      </c>
      <c r="C10" s="7" t="n">
        <v>10</v>
      </c>
      <c r="D10" s="5" t="inlineStr">
        <is>
          <t>шт</t>
        </is>
      </c>
      <c r="E10" s="8" t="n">
        <v>800</v>
      </c>
      <c r="F10" s="9">
        <f>C10*E10</f>
        <v/>
      </c>
      <c r="G10" s="10" t="n"/>
      <c r="H10" s="5" t="inlineStr">
        <is>
          <t>в т.ч. НДС</t>
        </is>
      </c>
      <c r="I10" s="6" t="inlineStr">
        <is>
          <t>ИП Пономарев С.В.</t>
        </is>
      </c>
      <c r="J10" s="6" t="inlineStr">
        <is>
          <t>Счёт-договор № 4553</t>
        </is>
      </c>
      <c r="K10" s="11" t="n">
        <v>46261</v>
      </c>
    </row>
    <row r="11" ht="32" customHeight="1">
      <c r="A11" s="12" t="n">
        <v>6</v>
      </c>
      <c r="B11" s="13" t="inlineStr">
        <is>
          <t>Фильтр-осушитель для станции откачки фреона</t>
        </is>
      </c>
      <c r="C11" s="14" t="n">
        <v>10</v>
      </c>
      <c r="D11" s="12" t="inlineStr">
        <is>
          <t>шт</t>
        </is>
      </c>
      <c r="E11" s="15" t="n">
        <v>970</v>
      </c>
      <c r="F11" s="16">
        <f>C11*E11</f>
        <v/>
      </c>
      <c r="G11" s="10" t="n"/>
      <c r="H11" s="12" t="inlineStr">
        <is>
          <t>в т.ч. НДС</t>
        </is>
      </c>
      <c r="I11" s="13" t="inlineStr">
        <is>
          <t>ИП Пономарев С.В.</t>
        </is>
      </c>
      <c r="J11" s="13" t="inlineStr">
        <is>
          <t>Счёт-договор № 4553</t>
        </is>
      </c>
      <c r="K11" s="17" t="n">
        <v>46261</v>
      </c>
    </row>
    <row r="12" ht="32" customHeight="1">
      <c r="A12" s="5" t="n">
        <v>7</v>
      </c>
      <c r="B12" s="6" t="inlineStr">
        <is>
          <t>Электронный термометр ВС-Т3</t>
        </is>
      </c>
      <c r="C12" s="7" t="n">
        <v>2</v>
      </c>
      <c r="D12" s="5" t="inlineStr">
        <is>
          <t>шт</t>
        </is>
      </c>
      <c r="E12" s="8" t="n">
        <v>1600</v>
      </c>
      <c r="F12" s="9">
        <f>C12*E12</f>
        <v/>
      </c>
      <c r="G12" s="10" t="n"/>
      <c r="H12" s="5" t="inlineStr">
        <is>
          <t>в т.ч. НДС</t>
        </is>
      </c>
      <c r="I12" s="6" t="inlineStr">
        <is>
          <t>ИП Пономарев С.В.</t>
        </is>
      </c>
      <c r="J12" s="6" t="inlineStr">
        <is>
          <t>Счёт-договор № 4553</t>
        </is>
      </c>
      <c r="K12" s="11" t="n">
        <v>46261</v>
      </c>
    </row>
    <row r="13" ht="32" customHeight="1">
      <c r="A13" s="12" t="n">
        <v>8</v>
      </c>
      <c r="B13" s="13" t="inlineStr">
        <is>
          <t>ЗИП к электр. течеискателю CPS LS3000</t>
        </is>
      </c>
      <c r="C13" s="14" t="n">
        <v>2</v>
      </c>
      <c r="D13" s="12" t="inlineStr">
        <is>
          <t>шт</t>
        </is>
      </c>
      <c r="E13" s="15" t="n">
        <v>8700</v>
      </c>
      <c r="F13" s="16">
        <f>C13*E13</f>
        <v/>
      </c>
      <c r="G13" s="10" t="n"/>
      <c r="H13" s="12" t="inlineStr">
        <is>
          <t>в т.ч. НДС</t>
        </is>
      </c>
      <c r="I13" s="13" t="inlineStr">
        <is>
          <t>ИП Пономарев С.В.</t>
        </is>
      </c>
      <c r="J13" s="13" t="inlineStr">
        <is>
          <t>Счёт-договор № 4553</t>
        </is>
      </c>
      <c r="K13" s="17" t="n">
        <v>46261</v>
      </c>
    </row>
    <row r="14" ht="32" customHeight="1">
      <c r="A14" s="5" t="n">
        <v>9</v>
      </c>
      <c r="B14" s="6" t="inlineStr">
        <is>
          <t>Труборез TCT 174 3-30 мм titan</t>
        </is>
      </c>
      <c r="C14" s="7" t="n">
        <v>2</v>
      </c>
      <c r="D14" s="5" t="inlineStr">
        <is>
          <t>шт</t>
        </is>
      </c>
      <c r="E14" s="8" t="n">
        <v>3950</v>
      </c>
      <c r="F14" s="9">
        <f>C14*E14</f>
        <v/>
      </c>
      <c r="G14" s="10" t="n"/>
      <c r="H14" s="5" t="inlineStr">
        <is>
          <t>в т.ч. НДС</t>
        </is>
      </c>
      <c r="I14" s="6" t="inlineStr">
        <is>
          <t>ИП Пономарев С.В.</t>
        </is>
      </c>
      <c r="J14" s="6" t="inlineStr">
        <is>
          <t>Счёт-договор № 4553</t>
        </is>
      </c>
      <c r="K14" s="11" t="n">
        <v>46261</v>
      </c>
    </row>
    <row r="15" ht="32" customHeight="1">
      <c r="A15" s="12" t="n">
        <v>10</v>
      </c>
      <c r="B15" s="13" t="inlineStr">
        <is>
          <t>Штуцер переходной F 1/4 – M 3/8</t>
        </is>
      </c>
      <c r="C15" s="14" t="n">
        <v>2</v>
      </c>
      <c r="D15" s="12" t="inlineStr">
        <is>
          <t>шт</t>
        </is>
      </c>
      <c r="E15" s="15" t="n">
        <v>1200</v>
      </c>
      <c r="F15" s="16">
        <f>C15*E15</f>
        <v/>
      </c>
      <c r="G15" s="10" t="n"/>
      <c r="H15" s="12" t="inlineStr">
        <is>
          <t>в т.ч. НДС</t>
        </is>
      </c>
      <c r="I15" s="13" t="inlineStr">
        <is>
          <t>ИП Пономарев С.В.</t>
        </is>
      </c>
      <c r="J15" s="13" t="inlineStr">
        <is>
          <t>Счёт-договор № 4553</t>
        </is>
      </c>
      <c r="K15" s="17" t="n">
        <v>46261</v>
      </c>
    </row>
    <row r="16" ht="32" customHeight="1">
      <c r="A16" s="5" t="n">
        <v>11</v>
      </c>
      <c r="B16" s="6" t="inlineStr">
        <is>
          <t>Переходник DJ-M1/4 – F 3/8</t>
        </is>
      </c>
      <c r="C16" s="7" t="n">
        <v>10</v>
      </c>
      <c r="D16" s="5" t="inlineStr">
        <is>
          <t>шт</t>
        </is>
      </c>
      <c r="E16" s="8" t="n">
        <v>152</v>
      </c>
      <c r="F16" s="9">
        <f>C16*E16</f>
        <v/>
      </c>
      <c r="G16" s="10" t="n"/>
      <c r="H16" s="5" t="inlineStr">
        <is>
          <t>в т.ч. НДС</t>
        </is>
      </c>
      <c r="I16" s="6" t="inlineStr">
        <is>
          <t>ООО "Лето"</t>
        </is>
      </c>
      <c r="J16" s="6" t="inlineStr">
        <is>
          <t>Заказ № УТ-7245</t>
        </is>
      </c>
      <c r="K16" s="11" t="n">
        <v>46261</v>
      </c>
    </row>
    <row r="17" ht="32" customHeight="1">
      <c r="A17" s="12" t="n">
        <v>12</v>
      </c>
      <c r="B17" s="13" t="inlineStr">
        <is>
          <t>Адаптер 5/16" NPT M × 1/4 SAE</t>
        </is>
      </c>
      <c r="C17" s="14" t="n">
        <v>5</v>
      </c>
      <c r="D17" s="12" t="inlineStr">
        <is>
          <t>шт</t>
        </is>
      </c>
      <c r="E17" s="15" t="n">
        <v>142.5</v>
      </c>
      <c r="F17" s="16">
        <f>C17*E17</f>
        <v/>
      </c>
      <c r="G17" s="10" t="n"/>
      <c r="H17" s="12" t="inlineStr">
        <is>
          <t>в т.ч. НДС</t>
        </is>
      </c>
      <c r="I17" s="13" t="inlineStr">
        <is>
          <t>ООО "Лето"</t>
        </is>
      </c>
      <c r="J17" s="13" t="inlineStr">
        <is>
          <t>Заказ № УТ-7245</t>
        </is>
      </c>
      <c r="K17" s="17" t="n">
        <v>46261</v>
      </c>
    </row>
    <row r="18" ht="32" customHeight="1">
      <c r="A18" s="5" t="n">
        <v>13</v>
      </c>
      <c r="B18" s="6" t="inlineStr">
        <is>
          <t>Кронштейн 500×500×2 мм (нержавеющая сталь 2 мм)</t>
        </is>
      </c>
      <c r="C18" s="7" t="n">
        <v>1</v>
      </c>
      <c r="D18" s="5" t="inlineStr">
        <is>
          <t>шт</t>
        </is>
      </c>
      <c r="E18" s="8" t="n">
        <v>3576.75</v>
      </c>
      <c r="F18" s="9">
        <f>C18*E18</f>
        <v/>
      </c>
      <c r="G18" s="10" t="n"/>
      <c r="H18" s="5" t="inlineStr">
        <is>
          <t>в т.ч. НДС</t>
        </is>
      </c>
      <c r="I18" s="6" t="inlineStr">
        <is>
          <t>ООО "Лето"</t>
        </is>
      </c>
      <c r="J18" s="6" t="inlineStr">
        <is>
          <t>Заказ № УТ-7245</t>
        </is>
      </c>
      <c r="K18" s="11" t="n">
        <v>46261</v>
      </c>
    </row>
    <row r="19" ht="32" customHeight="1">
      <c r="A19" s="12" t="n">
        <v>14</v>
      </c>
      <c r="B19" s="13" t="inlineStr">
        <is>
          <t>Припой Castolin RB 5283 д. 2.0 мм (15% серебра)</t>
        </is>
      </c>
      <c r="C19" s="14" t="n">
        <v>50</v>
      </c>
      <c r="D19" s="12" t="inlineStr">
        <is>
          <t>шт</t>
        </is>
      </c>
      <c r="E19" s="15" t="n">
        <v>722</v>
      </c>
      <c r="F19" s="16">
        <f>C19*E19</f>
        <v/>
      </c>
      <c r="G19" s="10" t="n"/>
      <c r="H19" s="12" t="inlineStr">
        <is>
          <t>в т.ч. НДС</t>
        </is>
      </c>
      <c r="I19" s="13" t="inlineStr">
        <is>
          <t>ООО "Лето"</t>
        </is>
      </c>
      <c r="J19" s="13" t="inlineStr">
        <is>
          <t>Заказ № УТ-7245</t>
        </is>
      </c>
      <c r="K19" s="17" t="n">
        <v>46261</v>
      </c>
    </row>
    <row r="20" ht="32" customHeight="1">
      <c r="A20" s="5" t="n">
        <v>15</v>
      </c>
      <c r="B20" s="6" t="inlineStr">
        <is>
          <t>Адаптер CV04 (M5/16 × F5/16)</t>
        </is>
      </c>
      <c r="C20" s="7" t="n">
        <v>3</v>
      </c>
      <c r="D20" s="5" t="inlineStr">
        <is>
          <t>шт</t>
        </is>
      </c>
      <c r="E20" s="8" t="n">
        <v>1154.25</v>
      </c>
      <c r="F20" s="9">
        <f>C20*E20</f>
        <v/>
      </c>
      <c r="G20" s="10" t="n"/>
      <c r="H20" s="5" t="inlineStr">
        <is>
          <t>в т.ч. НДС</t>
        </is>
      </c>
      <c r="I20" s="6" t="inlineStr">
        <is>
          <t>ООО "Лето"</t>
        </is>
      </c>
      <c r="J20" s="6" t="inlineStr">
        <is>
          <t>Заказ № УТ-7245</t>
        </is>
      </c>
      <c r="K20" s="11" t="n">
        <v>46261</v>
      </c>
    </row>
    <row r="21" ht="32" customHeight="1">
      <c r="A21" s="12" t="n">
        <v>16</v>
      </c>
      <c r="B21" s="13" t="inlineStr">
        <is>
          <t>Адаптер CV10 (M5/16 × F1/4)</t>
        </is>
      </c>
      <c r="C21" s="14" t="n">
        <v>3</v>
      </c>
      <c r="D21" s="12" t="inlineStr">
        <is>
          <t>шт</t>
        </is>
      </c>
      <c r="E21" s="15" t="n">
        <v>1154.25</v>
      </c>
      <c r="F21" s="16">
        <f>C21*E21</f>
        <v/>
      </c>
      <c r="G21" s="10" t="n"/>
      <c r="H21" s="12" t="inlineStr">
        <is>
          <t>в т.ч. НДС</t>
        </is>
      </c>
      <c r="I21" s="13" t="inlineStr">
        <is>
          <t>ООО "Лето"</t>
        </is>
      </c>
      <c r="J21" s="13" t="inlineStr">
        <is>
          <t>Заказ № УТ-7245</t>
        </is>
      </c>
      <c r="K21" s="17" t="n">
        <v>46261</v>
      </c>
    </row>
    <row r="22" ht="32" customHeight="1">
      <c r="A22" s="5" t="n">
        <v>17</v>
      </c>
      <c r="B22" s="6" t="inlineStr">
        <is>
          <t>Вентиль запорный (CH-15BV-SH) F1/4 SAE × M1/4 SAE</t>
        </is>
      </c>
      <c r="C22" s="7" t="n">
        <v>3</v>
      </c>
      <c r="D22" s="5" t="inlineStr">
        <is>
          <t>шт</t>
        </is>
      </c>
      <c r="E22" s="8" t="n">
        <v>631.75</v>
      </c>
      <c r="F22" s="9">
        <f>C22*E22</f>
        <v/>
      </c>
      <c r="G22" s="10" t="n"/>
      <c r="H22" s="5" t="inlineStr">
        <is>
          <t>в т.ч. НДС</t>
        </is>
      </c>
      <c r="I22" s="6" t="inlineStr">
        <is>
          <t>ООО "Лето"</t>
        </is>
      </c>
      <c r="J22" s="6" t="inlineStr">
        <is>
          <t>Заказ № УТ-7245</t>
        </is>
      </c>
      <c r="K22" s="11" t="n">
        <v>46261</v>
      </c>
    </row>
    <row r="23" ht="32" customHeight="1">
      <c r="A23" s="12" t="n">
        <v>18</v>
      </c>
      <c r="B23" s="13" t="inlineStr">
        <is>
          <t>Клапан KVU-S-800×400-O-MN220-P-04</t>
        </is>
      </c>
      <c r="C23" s="14" t="n">
        <v>2</v>
      </c>
      <c r="D23" s="12" t="inlineStr">
        <is>
          <t>шт</t>
        </is>
      </c>
      <c r="E23" s="15" t="n">
        <v>21092.71</v>
      </c>
      <c r="F23" s="16">
        <f>C23*E23</f>
        <v/>
      </c>
      <c r="G23" s="10" t="n"/>
      <c r="H23" s="12" t="inlineStr">
        <is>
          <t>без НДС, 22%</t>
        </is>
      </c>
      <c r="I23" s="13" t="inlineStr">
        <is>
          <t>ООО НЕВАТОМ СИБИРЬ</t>
        </is>
      </c>
      <c r="J23" s="13" t="inlineStr">
        <is>
          <t>УПД № 58805</t>
        </is>
      </c>
      <c r="K23" s="17" t="n">
        <v>46279</v>
      </c>
    </row>
    <row r="24" ht="32" customHeight="1">
      <c r="A24" s="5" t="n">
        <v>19</v>
      </c>
      <c r="B24" s="6" t="inlineStr">
        <is>
          <t>Решётка PH RAL9016 1500×550 F</t>
        </is>
      </c>
      <c r="C24" s="7" t="n">
        <v>2</v>
      </c>
      <c r="D24" s="5" t="inlineStr">
        <is>
          <t>шт</t>
        </is>
      </c>
      <c r="E24" s="8" t="n">
        <v>6617.23</v>
      </c>
      <c r="F24" s="9">
        <f>C24*E24</f>
        <v/>
      </c>
      <c r="G24" s="10" t="n"/>
      <c r="H24" s="5" t="inlineStr">
        <is>
          <t>без НДС, 22%</t>
        </is>
      </c>
      <c r="I24" s="6" t="inlineStr">
        <is>
          <t>ООО НЕВАТОМ СИБИРЬ</t>
        </is>
      </c>
      <c r="J24" s="6" t="inlineStr">
        <is>
          <t>УПД № 58805</t>
        </is>
      </c>
      <c r="K24" s="11" t="n">
        <v>46279</v>
      </c>
    </row>
    <row r="25" ht="32" customHeight="1">
      <c r="A25" s="12" t="n">
        <v>20</v>
      </c>
      <c r="B25" s="13" t="inlineStr">
        <is>
          <t>AB25ZS1A1FA внутренний блок Haier</t>
        </is>
      </c>
      <c r="C25" s="14" t="n">
        <v>2</v>
      </c>
      <c r="D25" s="12" t="inlineStr">
        <is>
          <t>шт</t>
        </is>
      </c>
      <c r="E25" s="15" t="n">
        <v>19856.56</v>
      </c>
      <c r="F25" s="16">
        <f>C25*E25</f>
        <v/>
      </c>
      <c r="G25" s="10" t="n"/>
      <c r="H25" s="12" t="inlineStr">
        <is>
          <t>без НДС, 22%</t>
        </is>
      </c>
      <c r="I25" s="13" t="inlineStr">
        <is>
          <t>ООО "ПРЕДСТАВИТЕЛЬСТВО РЕГИОН ВОЛГА"</t>
        </is>
      </c>
      <c r="J25" s="13" t="inlineStr">
        <is>
          <t>УПД № 2206</t>
        </is>
      </c>
      <c r="K25" s="17" t="n">
        <v>46279</v>
      </c>
    </row>
    <row r="26" ht="32" customHeight="1">
      <c r="A26" s="5" t="n">
        <v>21</v>
      </c>
      <c r="B26" s="6" t="inlineStr">
        <is>
          <t>P1B-10281B декоративная панель Haier</t>
        </is>
      </c>
      <c r="C26" s="7" t="n">
        <v>2</v>
      </c>
      <c r="D26" s="5" t="inlineStr">
        <is>
          <t>шт</t>
        </is>
      </c>
      <c r="E26" s="8" t="n">
        <v>5139.35</v>
      </c>
      <c r="F26" s="9">
        <f>C26*E26</f>
        <v/>
      </c>
      <c r="G26" s="10" t="n"/>
      <c r="H26" s="5" t="inlineStr">
        <is>
          <t>без НДС, 22%</t>
        </is>
      </c>
      <c r="I26" s="6" t="inlineStr">
        <is>
          <t>ООО "ПРЕДСТАВИТЕЛЬСТВО РЕГИОН ВОЛГА"</t>
        </is>
      </c>
      <c r="J26" s="6" t="inlineStr">
        <is>
          <t>УПД № 2206</t>
        </is>
      </c>
      <c r="K26" s="11" t="n">
        <v>46279</v>
      </c>
    </row>
    <row r="27" ht="32" customHeight="1">
      <c r="A27" s="12" t="n">
        <v>22</v>
      </c>
      <c r="B27" s="13" t="inlineStr">
        <is>
          <t>MS3-036A блок сов. с SuperMatch Haier</t>
        </is>
      </c>
      <c r="C27" s="14" t="n">
        <v>2</v>
      </c>
      <c r="D27" s="12" t="inlineStr">
        <is>
          <t>шт</t>
        </is>
      </c>
      <c r="E27" s="15" t="n">
        <v>30819.67</v>
      </c>
      <c r="F27" s="16">
        <f>C27*E27</f>
        <v/>
      </c>
      <c r="G27" s="10" t="n"/>
      <c r="H27" s="12" t="inlineStr">
        <is>
          <t>без НДС, 22%</t>
        </is>
      </c>
      <c r="I27" s="13" t="inlineStr">
        <is>
          <t>ООО "ПРЕДСТАВИТЕЛЬСТВО РЕГИОН ВОЛГА"</t>
        </is>
      </c>
      <c r="J27" s="13" t="inlineStr">
        <is>
          <t>УПД № 2206</t>
        </is>
      </c>
      <c r="K27" s="17" t="n">
        <v>46279</v>
      </c>
    </row>
    <row r="28" ht="32" customHeight="1">
      <c r="A28" s="5" t="n">
        <v>23</v>
      </c>
      <c r="B28" s="6" t="inlineStr">
        <is>
          <t>AS35ZS2S2FA-W внутренний блок Haier</t>
        </is>
      </c>
      <c r="C28" s="7" t="n">
        <v>1</v>
      </c>
      <c r="D28" s="5" t="inlineStr">
        <is>
          <t>шт</t>
        </is>
      </c>
      <c r="E28" s="8" t="n">
        <v>34455.74</v>
      </c>
      <c r="F28" s="9">
        <f>C28*E28</f>
        <v/>
      </c>
      <c r="G28" s="10" t="n"/>
      <c r="H28" s="5" t="inlineStr">
        <is>
          <t>без НДС, 22%</t>
        </is>
      </c>
      <c r="I28" s="6" t="inlineStr">
        <is>
          <t>ООО "ПРЕДСТАВИТЕЛЬСТВО РЕГИОН ВОЛГА"</t>
        </is>
      </c>
      <c r="J28" s="6" t="inlineStr">
        <is>
          <t>УПД № 2206</t>
        </is>
      </c>
      <c r="K28" s="11" t="n">
        <v>46279</v>
      </c>
    </row>
    <row r="29" ht="32" customHeight="1">
      <c r="A29" s="12" t="n">
        <v>24</v>
      </c>
      <c r="B29" s="13" t="inlineStr">
        <is>
          <t>AS25ZS3FA-S внутр. блок Haier</t>
        </is>
      </c>
      <c r="C29" s="14" t="n">
        <v>2</v>
      </c>
      <c r="D29" s="12" t="inlineStr">
        <is>
          <t>шт</t>
        </is>
      </c>
      <c r="E29" s="15" t="n">
        <v>34455.74</v>
      </c>
      <c r="F29" s="16">
        <f>C29*E29</f>
        <v/>
      </c>
      <c r="G29" s="10" t="n"/>
      <c r="H29" s="12" t="inlineStr">
        <is>
          <t>без НДС, 22%</t>
        </is>
      </c>
      <c r="I29" s="13" t="inlineStr">
        <is>
          <t>ООО "ПРЕДСТАВИТЕЛЬСТВО РЕГИОН ВОЛГА"</t>
        </is>
      </c>
      <c r="J29" s="13" t="inlineStr">
        <is>
          <t>УПД № 2206</t>
        </is>
      </c>
      <c r="K29" s="17" t="n">
        <v>46279</v>
      </c>
    </row>
    <row r="30" ht="32" customHeight="1">
      <c r="A30" s="5" t="n">
        <v>25</v>
      </c>
      <c r="B30" s="6" t="inlineStr">
        <is>
          <t>AS35ZS2S2FA-S внутренний блок Haier</t>
        </is>
      </c>
      <c r="C30" s="7" t="n">
        <v>1</v>
      </c>
      <c r="D30" s="5" t="inlineStr">
        <is>
          <t>шт</t>
        </is>
      </c>
      <c r="E30" s="8" t="n">
        <v>40350.82</v>
      </c>
      <c r="F30" s="9">
        <f>C30*E30</f>
        <v/>
      </c>
      <c r="G30" s="10" t="n"/>
      <c r="H30" s="5" t="inlineStr">
        <is>
          <t>без НДС, 22%</t>
        </is>
      </c>
      <c r="I30" s="6" t="inlineStr">
        <is>
          <t>ООО "ПРЕДСТАВИТЕЛЬСТВО РЕГИОН ВОЛГА"</t>
        </is>
      </c>
      <c r="J30" s="6" t="inlineStr">
        <is>
          <t>УПД № 2206</t>
        </is>
      </c>
      <c r="K30" s="11" t="n">
        <v>46279</v>
      </c>
    </row>
    <row r="31" ht="32" customHeight="1">
      <c r="A31" s="12" t="n">
        <v>26</v>
      </c>
      <c r="B31" s="13" t="inlineStr">
        <is>
          <t>1U125ZS2N2FB внешний блок Haier</t>
        </is>
      </c>
      <c r="C31" s="14" t="n">
        <v>1</v>
      </c>
      <c r="D31" s="12" t="inlineStr">
        <is>
          <t>шт</t>
        </is>
      </c>
      <c r="E31" s="15" t="n">
        <v>76350</v>
      </c>
      <c r="F31" s="16">
        <f>C31*E31</f>
        <v/>
      </c>
      <c r="G31" s="10" t="n"/>
      <c r="H31" s="12" t="inlineStr">
        <is>
          <t>без НДС, 22%</t>
        </is>
      </c>
      <c r="I31" s="13" t="inlineStr">
        <is>
          <t>ООО "ПРЕДСТАВИТЕЛЬСТВО РЕГИОН ВОЛГА"</t>
        </is>
      </c>
      <c r="J31" s="13" t="inlineStr">
        <is>
          <t>УПД № 2110</t>
        </is>
      </c>
      <c r="K31" s="17" t="n">
        <v>46262</v>
      </c>
    </row>
    <row r="32" ht="32" customHeight="1">
      <c r="A32" s="5" t="n">
        <v>27</v>
      </c>
      <c r="B32" s="6" t="inlineStr">
        <is>
          <t>AH1-LCAC1 модуль сопряжения с AHU Haier</t>
        </is>
      </c>
      <c r="C32" s="7" t="n">
        <v>1</v>
      </c>
      <c r="D32" s="5" t="inlineStr">
        <is>
          <t>шт</t>
        </is>
      </c>
      <c r="E32" s="8" t="n">
        <v>10900</v>
      </c>
      <c r="F32" s="9">
        <f>C32*E32</f>
        <v/>
      </c>
      <c r="G32" s="10" t="n"/>
      <c r="H32" s="5" t="inlineStr">
        <is>
          <t>без НДС, 22%</t>
        </is>
      </c>
      <c r="I32" s="6" t="inlineStr">
        <is>
          <t>ООО "ПРЕДСТАВИТЕЛЬСТВО РЕГИОН ВОЛГА"</t>
        </is>
      </c>
      <c r="J32" s="6" t="inlineStr">
        <is>
          <t>УПД № 2110</t>
        </is>
      </c>
      <c r="K32" s="11" t="n">
        <v>46262</v>
      </c>
    </row>
    <row r="34" ht="24" customHeight="1">
      <c r="A34" s="18" t="inlineStr">
        <is>
          <t>Итого (кол-во × цена)</t>
        </is>
      </c>
      <c r="C34" s="19">
        <f>SUM(C6:C32)</f>
        <v/>
      </c>
      <c r="F34" s="20">
        <f>SUM(F6:F32)</f>
        <v/>
      </c>
    </row>
  </sheetData>
  <autoFilter ref="A5:K32"/>
  <mergeCells count="4">
    <mergeCell ref="A2:K2"/>
    <mergeCell ref="A1:K1"/>
    <mergeCell ref="A34:B34"/>
    <mergeCell ref="A3:K3"/>
  </mergeCells>
  <conditionalFormatting sqref="G6:G32">
    <cfRule type="expression" priority="1" dxfId="0">
      <formula>AND(G6="",C6&lt;&gt;"")</formula>
    </cfRule>
    <cfRule type="expression" priority="2" dxfId="1">
      <formula>G6&lt;&gt;""</formula>
    </cfRule>
  </conditionalFormatting>
  <dataValidations count="1">
    <dataValidation sqref="G6:G32" showDropDown="0" showInputMessage="1" showErrorMessage="1" allowBlank="1" errorTitle="Где находится" error="Выберите: 2 склад, 15 склад или офис." promptTitle="Где находится" prompt="2 склад  ·  15 склад  ·  офис" type="list">
      <formula1>=Списки!$A$2:$A$4</formula1>
    </dataValidation>
  </dataValidations>
  <pageMargins left="0.4" right="0.4" top="0.5" bottom="0.5" header="0.5" footer="0.5"/>
  <pageSetup orientation="landscape" paperSize="9" fitToHeight="1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21" t="inlineStr">
        <is>
          <t>Где находится</t>
        </is>
      </c>
    </row>
    <row r="2">
      <c r="A2" s="22" t="inlineStr">
        <is>
          <t>2 склад</t>
        </is>
      </c>
    </row>
    <row r="3">
      <c r="A3" s="22" t="inlineStr">
        <is>
          <t>15 склад</t>
        </is>
      </c>
    </row>
    <row r="4">
      <c r="A4" s="22" t="inlineStr">
        <is>
          <t>офис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4A35A"/>
    <outlinePr summaryBelow="1" summaryRight="1"/>
    <pageSetUpPr/>
  </sheetPr>
  <dimension ref="A1:D10"/>
  <sheetViews>
    <sheetView showGridLines="0" zoomScale="12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</cols>
  <sheetData>
    <row r="1" ht="28" customHeight="1">
      <c r="A1" s="23" t="inlineStr">
        <is>
          <t>ГДЕ ЛЕЖИТ</t>
        </is>
      </c>
    </row>
    <row r="2" ht="32" customHeight="1">
      <c r="A2" s="24" t="inlineStr">
        <is>
          <t>Сводка обновляется сама, когда на листе «Привезли 15.09» выбираете место в выпадающем списке.</t>
        </is>
      </c>
    </row>
    <row r="4">
      <c r="A4" s="4" t="inlineStr">
        <is>
          <t>Где находится</t>
        </is>
      </c>
      <c r="B4" s="4" t="inlineStr">
        <is>
          <t>Позиций</t>
        </is>
      </c>
      <c r="C4" s="4" t="inlineStr">
        <is>
          <t>Кол-во</t>
        </is>
      </c>
      <c r="D4" s="4" t="inlineStr">
        <is>
          <t>Сумма</t>
        </is>
      </c>
    </row>
    <row r="5">
      <c r="A5" s="25" t="inlineStr">
        <is>
          <t>2 склад</t>
        </is>
      </c>
      <c r="B5" s="26">
        <f>COUNTIF(Tovar[Где находится],A5)</f>
        <v/>
      </c>
      <c r="C5" s="26">
        <f>SUMIF(Tovar[Где находится],A5,Tovar[Кол-во])</f>
        <v/>
      </c>
      <c r="D5" s="27">
        <f>SUMIF(Tovar[Где находится],A5,Tovar[Сумма])</f>
        <v/>
      </c>
    </row>
    <row r="6">
      <c r="A6" s="25" t="inlineStr">
        <is>
          <t>15 склад</t>
        </is>
      </c>
      <c r="B6" s="26">
        <f>COUNTIF(Tovar[Где находится],A6)</f>
        <v/>
      </c>
      <c r="C6" s="26">
        <f>SUMIF(Tovar[Где находится],A6,Tovar[Кол-во])</f>
        <v/>
      </c>
      <c r="D6" s="27">
        <f>SUMIF(Tovar[Где находится],A6,Tovar[Сумма])</f>
        <v/>
      </c>
    </row>
    <row r="7">
      <c r="A7" s="25" t="inlineStr">
        <is>
          <t>офис</t>
        </is>
      </c>
      <c r="B7" s="26">
        <f>COUNTIF(Tovar[Где находится],A7)</f>
        <v/>
      </c>
      <c r="C7" s="26">
        <f>SUMIF(Tovar[Где находится],A7,Tovar[Кол-во])</f>
        <v/>
      </c>
      <c r="D7" s="27">
        <f>SUMIF(Tovar[Где находится],A7,Tovar[Сумма])</f>
        <v/>
      </c>
    </row>
    <row r="8">
      <c r="A8" s="28" t="inlineStr">
        <is>
          <t>не выбрано</t>
        </is>
      </c>
      <c r="B8" s="10">
        <f>COUNTBLANK(Tovar[Где находится])</f>
        <v/>
      </c>
      <c r="C8" s="10">
        <f>SUMIF(Tovar[Где находится],"",Tovar[Кол-во])</f>
        <v/>
      </c>
      <c r="D8" s="29">
        <f>SUMIF(Tovar[Где находится],"",Tovar[Сумма])</f>
        <v/>
      </c>
    </row>
    <row r="10">
      <c r="A10" s="30" t="inlineStr">
        <is>
          <t>Всего</t>
        </is>
      </c>
      <c r="B10" s="31">
        <f>COUNTA(Tovar[Наименование])</f>
        <v/>
      </c>
      <c r="C10" s="31">
        <f>SUM(Tovar[Кол-во])</f>
        <v/>
      </c>
      <c r="D10" s="32">
        <f>SUM(Tovar[Сумма])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A6570"/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4" customWidth="1" min="3" max="3"/>
    <col width="12" customWidth="1" min="4" max="4"/>
    <col width="52" customWidth="1" min="5" max="5"/>
  </cols>
  <sheetData>
    <row r="1" ht="28" customHeight="1">
      <c r="A1" s="33" t="inlineStr">
        <is>
          <t>ИСТОЧНИКИ</t>
        </is>
      </c>
    </row>
    <row r="3">
      <c r="A3" s="4" t="inlineStr">
        <is>
          <t>Документ</t>
        </is>
      </c>
      <c r="B3" s="4" t="inlineStr">
        <is>
          <t>Дата</t>
        </is>
      </c>
      <c r="C3" s="4" t="inlineStr">
        <is>
          <t>Поставщик</t>
        </is>
      </c>
      <c r="D3" s="4" t="inlineStr">
        <is>
          <t>Позиций</t>
        </is>
      </c>
      <c r="E3" s="4" t="inlineStr">
        <is>
          <t>Примечание</t>
        </is>
      </c>
    </row>
    <row r="4">
      <c r="A4" s="34" t="inlineStr">
        <is>
          <t>Счёт-договор № 4553</t>
        </is>
      </c>
      <c r="B4" s="35" t="n">
        <v>46261</v>
      </c>
      <c r="C4" s="34" t="inlineStr">
        <is>
          <t>ИП Пономарев Сергей Викторович</t>
        </is>
      </c>
      <c r="D4" s="26" t="n">
        <v>10</v>
      </c>
      <c r="E4" s="34" t="inlineStr">
        <is>
          <t>Цена с НДС. Итого 67 400,00 ₽</t>
        </is>
      </c>
    </row>
    <row r="5">
      <c r="A5" s="13" t="inlineStr">
        <is>
          <t>Заказ клиента № УТ-7245</t>
        </is>
      </c>
      <c r="B5" s="17" t="n">
        <v>46261</v>
      </c>
      <c r="C5" s="13" t="inlineStr">
        <is>
          <t>ООО "Лето"</t>
        </is>
      </c>
      <c r="D5" s="12" t="n">
        <v>7</v>
      </c>
      <c r="E5" s="13" t="inlineStr">
        <is>
          <t>Скидка 5% уже учтена в цене. К оплате 50 730,00 ₽</t>
        </is>
      </c>
    </row>
    <row r="6">
      <c r="A6" s="34" t="inlineStr">
        <is>
          <t>УПД № 58805</t>
        </is>
      </c>
      <c r="B6" s="35" t="n">
        <v>46279</v>
      </c>
      <c r="C6" s="34" t="inlineStr">
        <is>
          <t>ООО НЕВАТОМ СИБИРЬ</t>
        </is>
      </c>
      <c r="D6" s="26" t="n">
        <v>2</v>
      </c>
      <c r="E6" s="34" t="inlineStr">
        <is>
          <t>Цена без НДС. С НДС 67 612,24 ₽</t>
        </is>
      </c>
    </row>
    <row r="7">
      <c r="A7" s="13" t="inlineStr">
        <is>
          <t>УПД № 2206</t>
        </is>
      </c>
      <c r="B7" s="17" t="n">
        <v>46279</v>
      </c>
      <c r="C7" s="13" t="inlineStr">
        <is>
          <t>ООО "ПРЕДСТАВИТЕЛЬСТВО РЕГИОН ВОЛГА"</t>
        </is>
      </c>
      <c r="D7" s="12" t="n">
        <v>6</v>
      </c>
      <c r="E7" s="13" t="inlineStr">
        <is>
          <t>Цена без НДС. С НДС 311 526,00 ₽. Haier</t>
        </is>
      </c>
    </row>
    <row r="8">
      <c r="A8" s="34" t="inlineStr">
        <is>
          <t>УПД № 2110</t>
        </is>
      </c>
      <c r="B8" s="35" t="n">
        <v>46262</v>
      </c>
      <c r="C8" s="34" t="inlineStr">
        <is>
          <t>ООО "ПРЕДСТАВИТЕЛЬСТВО РЕГИОН ВОЛГА"</t>
        </is>
      </c>
      <c r="D8" s="26" t="n">
        <v>2</v>
      </c>
      <c r="E8" s="34" t="inlineStr">
        <is>
          <t>Цена без НДС. С НДС 106 445,00 ₽. Haier</t>
        </is>
      </c>
    </row>
    <row r="10">
      <c r="A10" s="36" t="inlineStr">
        <is>
          <t>Таблица собрана по PDF «Привезли 15.09» (8 страниц). Покупатель во всех документах — К.Ф.Х. Галимова Р.М. На листе «Привезли 15.09» включены автофильтры; колонка «Где находится» — выпадающий список (2 склад / 15 склад / офис).</t>
        </is>
      </c>
    </row>
    <row r="11"/>
  </sheetData>
  <mergeCells count="2">
    <mergeCell ref="A1:E1"/>
    <mergeCell ref="A10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2026-09-15T08:39:25Z</dcterms:created>
  <dcterms:modified xsi:type="dcterms:W3CDTF">2026-09-15T08:39:25Z</dcterms:modified>
</cp:coreProperties>
</file>